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0" yWindow="0" windowWidth="22260" windowHeight="12300"/>
  </bookViews>
  <sheets>
    <sheet name="Лист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P8"/>
  <c r="O8"/>
  <c r="E19"/>
  <c r="F19" s="1"/>
  <c r="N11"/>
  <c r="E4" l="1"/>
  <c r="F4" s="1"/>
  <c r="G4" s="1"/>
  <c r="E44"/>
  <c r="F44" s="1"/>
  <c r="E49"/>
  <c r="F49" s="1"/>
  <c r="H49" s="1"/>
  <c r="E82"/>
  <c r="F82" s="1"/>
  <c r="H82" s="1"/>
  <c r="E5"/>
  <c r="F5" s="1"/>
  <c r="G5" s="1"/>
  <c r="E21"/>
  <c r="F21" s="1"/>
  <c r="E46"/>
  <c r="F46" s="1"/>
  <c r="E50"/>
  <c r="F50" s="1"/>
  <c r="E52"/>
  <c r="F52" s="1"/>
  <c r="E47"/>
  <c r="F47" s="1"/>
  <c r="E53"/>
  <c r="F53" s="1"/>
  <c r="E20"/>
  <c r="F20" s="1"/>
  <c r="E45"/>
  <c r="F45" s="1"/>
  <c r="E48"/>
  <c r="F48" s="1"/>
  <c r="E51"/>
  <c r="F51" s="1"/>
  <c r="E77"/>
  <c r="F77" s="1"/>
  <c r="E78"/>
  <c r="F78" s="1"/>
  <c r="E79"/>
  <c r="F79" s="1"/>
  <c r="E80"/>
  <c r="F80" s="1"/>
  <c r="E81"/>
  <c r="F81" s="1"/>
  <c r="E3"/>
  <c r="F3" s="1"/>
  <c r="G3" s="1"/>
  <c r="E14"/>
  <c r="F14" s="1"/>
  <c r="G14" s="1"/>
  <c r="E16"/>
  <c r="F16" s="1"/>
  <c r="G16" s="1"/>
  <c r="E17"/>
  <c r="F17" s="1"/>
  <c r="E13"/>
  <c r="F13" s="1"/>
  <c r="G13" s="1"/>
  <c r="E15"/>
  <c r="F15" s="1"/>
  <c r="G15" s="1"/>
  <c r="E18"/>
  <c r="F18" s="1"/>
  <c r="E22"/>
  <c r="F22" s="1"/>
  <c r="E55"/>
  <c r="F55" s="1"/>
  <c r="E8"/>
  <c r="F8" s="1"/>
  <c r="G8" s="1"/>
  <c r="E24"/>
  <c r="F24" s="1"/>
  <c r="E57"/>
  <c r="F57" s="1"/>
  <c r="H57" s="1"/>
  <c r="E10"/>
  <c r="F10" s="1"/>
  <c r="G10" s="1"/>
  <c r="E26"/>
  <c r="F26" s="1"/>
  <c r="E11"/>
  <c r="F11" s="1"/>
  <c r="G11" s="1"/>
  <c r="H11" s="1"/>
  <c r="E31"/>
  <c r="F31" s="1"/>
  <c r="H31" s="1"/>
  <c r="E2"/>
  <c r="F2" s="1"/>
  <c r="G2" s="1"/>
  <c r="E33"/>
  <c r="F33" s="1"/>
  <c r="E34"/>
  <c r="F34" s="1"/>
  <c r="E28"/>
  <c r="F28" s="1"/>
  <c r="E36"/>
  <c r="F36" s="1"/>
  <c r="E64"/>
  <c r="F64" s="1"/>
  <c r="E65"/>
  <c r="F65" s="1"/>
  <c r="E37"/>
  <c r="F37" s="1"/>
  <c r="E38"/>
  <c r="F38" s="1"/>
  <c r="E39"/>
  <c r="F39" s="1"/>
  <c r="E27"/>
  <c r="F27" s="1"/>
  <c r="E12"/>
  <c r="F12" s="1"/>
  <c r="G12" s="1"/>
  <c r="E42"/>
  <c r="F42" s="1"/>
  <c r="E43"/>
  <c r="F43" s="1"/>
  <c r="E6"/>
  <c r="F6" s="1"/>
  <c r="G6" s="1"/>
  <c r="E54"/>
  <c r="F54" s="1"/>
  <c r="E7"/>
  <c r="F7" s="1"/>
  <c r="G7" s="1"/>
  <c r="E23"/>
  <c r="F23" s="1"/>
  <c r="E56"/>
  <c r="F56" s="1"/>
  <c r="E9"/>
  <c r="F9" s="1"/>
  <c r="G9" s="1"/>
  <c r="E25"/>
  <c r="F25" s="1"/>
  <c r="E58"/>
  <c r="F58" s="1"/>
  <c r="E59"/>
  <c r="F59" s="1"/>
  <c r="E60"/>
  <c r="F60" s="1"/>
  <c r="E61"/>
  <c r="F61" s="1"/>
  <c r="E29"/>
  <c r="F29" s="1"/>
  <c r="E62"/>
  <c r="F62" s="1"/>
  <c r="E30"/>
  <c r="F30" s="1"/>
  <c r="E63"/>
  <c r="F63" s="1"/>
  <c r="E32"/>
  <c r="F32" s="1"/>
  <c r="H32" s="1"/>
  <c r="E66"/>
  <c r="F66" s="1"/>
  <c r="E67"/>
  <c r="F67" s="1"/>
  <c r="H67" s="1"/>
  <c r="E35"/>
  <c r="F35" s="1"/>
  <c r="E68"/>
  <c r="F68" s="1"/>
  <c r="E69"/>
  <c r="F69" s="1"/>
  <c r="E70"/>
  <c r="F70" s="1"/>
  <c r="E71"/>
  <c r="F71" s="1"/>
  <c r="E72"/>
  <c r="F72" s="1"/>
  <c r="E40"/>
  <c r="F40" s="1"/>
  <c r="E73"/>
  <c r="F73" s="1"/>
  <c r="E41"/>
  <c r="F41" s="1"/>
  <c r="E74"/>
  <c r="F74" s="1"/>
  <c r="E75"/>
  <c r="F75" s="1"/>
  <c r="E76"/>
  <c r="F76" s="1"/>
  <c r="D8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9"/>
  <c r="D10"/>
  <c r="D11"/>
  <c r="D12"/>
  <c r="D13"/>
  <c r="D14"/>
  <c r="D15"/>
  <c r="D16"/>
  <c r="D17"/>
  <c r="D18"/>
  <c r="D19"/>
  <c r="D20"/>
  <c r="D21"/>
  <c r="D22"/>
  <c r="D3"/>
  <c r="D4"/>
  <c r="D5"/>
  <c r="D6"/>
  <c r="D7"/>
  <c r="D8"/>
  <c r="D2"/>
  <c r="H35" l="1"/>
  <c r="H28"/>
  <c r="H19"/>
  <c r="H21"/>
  <c r="H53"/>
  <c r="H74"/>
  <c r="H72"/>
  <c r="H48"/>
  <c r="H44"/>
  <c r="H64"/>
  <c r="H77"/>
  <c r="H63"/>
  <c r="H46"/>
  <c r="H40"/>
  <c r="H14"/>
  <c r="H4"/>
  <c r="H68"/>
  <c r="H65"/>
  <c r="H16"/>
  <c r="H17"/>
  <c r="H6"/>
  <c r="H79"/>
  <c r="H30"/>
  <c r="H2"/>
  <c r="H70"/>
  <c r="H71"/>
  <c r="H20"/>
  <c r="H51"/>
  <c r="H80"/>
  <c r="H23"/>
  <c r="H18"/>
  <c r="H5"/>
  <c r="H50"/>
  <c r="H73"/>
  <c r="H41"/>
  <c r="H27"/>
  <c r="H42"/>
  <c r="H81"/>
  <c r="H13"/>
  <c r="H60"/>
  <c r="H22"/>
  <c r="H66"/>
  <c r="H34"/>
  <c r="H47"/>
  <c r="H45"/>
  <c r="H78"/>
  <c r="H7"/>
  <c r="H9"/>
  <c r="H15"/>
  <c r="H61"/>
  <c r="H55"/>
  <c r="H10"/>
  <c r="H33"/>
  <c r="H36"/>
  <c r="H37"/>
  <c r="H39"/>
  <c r="H76"/>
  <c r="H43"/>
  <c r="H54"/>
  <c r="H56"/>
  <c r="H58"/>
  <c r="H8"/>
  <c r="H26"/>
  <c r="H69"/>
  <c r="H52"/>
  <c r="H38"/>
  <c r="H75"/>
  <c r="H12"/>
  <c r="H3"/>
  <c r="H25"/>
  <c r="H59"/>
  <c r="H29"/>
  <c r="H62"/>
  <c r="H24"/>
</calcChain>
</file>

<file path=xl/sharedStrings.xml><?xml version="1.0" encoding="utf-8"?>
<sst xmlns="http://schemas.openxmlformats.org/spreadsheetml/2006/main" count="19" uniqueCount="18">
  <si>
    <t>После включения</t>
  </si>
  <si>
    <t>Описание</t>
  </si>
  <si>
    <t>Катуша расположена по центру</t>
  </si>
  <si>
    <t>x[см]</t>
  </si>
  <si>
    <t>До включения [мкТл]</t>
  </si>
  <si>
    <t>Ноль катушки по иксу относительно начала экрана</t>
  </si>
  <si>
    <t>погрешность</t>
  </si>
  <si>
    <t>миллиметры</t>
  </si>
  <si>
    <t>Ноль датчика</t>
  </si>
  <si>
    <t>Разность</t>
  </si>
  <si>
    <t>Ток</t>
  </si>
  <si>
    <t>Длинна катушки</t>
  </si>
  <si>
    <t>D</t>
  </si>
  <si>
    <t>N</t>
  </si>
  <si>
    <t>M</t>
  </si>
  <si>
    <t>m0</t>
  </si>
  <si>
    <t>Абс погрешность</t>
  </si>
  <si>
    <t>Отн.Погр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</si>
</sst>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2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Поле</a:t>
            </a:r>
            <a:r>
              <a:rPr lang="ru-RU" baseline="0"/>
              <a:t> катушки</a:t>
            </a:r>
          </a:p>
        </c:rich>
      </c:tx>
      <c:layout>
        <c:manualLayout>
          <c:xMode val="edge"/>
          <c:yMode val="edge"/>
          <c:x val="0.37768044619422581"/>
          <c:y val="2.777777777777779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Лист1!$D$2:$D$82</c:f>
              <c:numCache>
                <c:formatCode>0.00</c:formatCode>
                <c:ptCount val="81"/>
                <c:pt idx="0">
                  <c:v>42.5</c:v>
                </c:pt>
                <c:pt idx="1">
                  <c:v>36.799999999999997</c:v>
                </c:pt>
                <c:pt idx="2">
                  <c:v>30.799999999999997</c:v>
                </c:pt>
                <c:pt idx="3">
                  <c:v>23.7</c:v>
                </c:pt>
                <c:pt idx="4">
                  <c:v>19.2</c:v>
                </c:pt>
                <c:pt idx="5">
                  <c:v>15.200000000000001</c:v>
                </c:pt>
                <c:pt idx="6">
                  <c:v>11.9</c:v>
                </c:pt>
                <c:pt idx="7">
                  <c:v>9.6000000000000014</c:v>
                </c:pt>
                <c:pt idx="8">
                  <c:v>7.7</c:v>
                </c:pt>
                <c:pt idx="9">
                  <c:v>6.4</c:v>
                </c:pt>
                <c:pt idx="10">
                  <c:v>5.0999999999999996</c:v>
                </c:pt>
                <c:pt idx="11">
                  <c:v>4.0999999999999996</c:v>
                </c:pt>
                <c:pt idx="12">
                  <c:v>3.5</c:v>
                </c:pt>
                <c:pt idx="13">
                  <c:v>3</c:v>
                </c:pt>
                <c:pt idx="14">
                  <c:v>2.5</c:v>
                </c:pt>
                <c:pt idx="15">
                  <c:v>2.1</c:v>
                </c:pt>
                <c:pt idx="16">
                  <c:v>1.8</c:v>
                </c:pt>
                <c:pt idx="17">
                  <c:v>1.7270000000000001</c:v>
                </c:pt>
                <c:pt idx="18">
                  <c:v>1.4700000000000002</c:v>
                </c:pt>
                <c:pt idx="19">
                  <c:v>1.33</c:v>
                </c:pt>
                <c:pt idx="20">
                  <c:v>1.1000000000000001</c:v>
                </c:pt>
                <c:pt idx="21">
                  <c:v>0.95</c:v>
                </c:pt>
                <c:pt idx="22">
                  <c:v>0.87</c:v>
                </c:pt>
                <c:pt idx="23">
                  <c:v>0.77999999999999992</c:v>
                </c:pt>
                <c:pt idx="24">
                  <c:v>0.69000000000000006</c:v>
                </c:pt>
                <c:pt idx="25">
                  <c:v>0.62000000000000011</c:v>
                </c:pt>
                <c:pt idx="26">
                  <c:v>0.58000000000000007</c:v>
                </c:pt>
                <c:pt idx="27">
                  <c:v>0.51</c:v>
                </c:pt>
                <c:pt idx="28">
                  <c:v>0.48999999999999994</c:v>
                </c:pt>
                <c:pt idx="29">
                  <c:v>0.45000000000000007</c:v>
                </c:pt>
                <c:pt idx="30">
                  <c:v>0.39</c:v>
                </c:pt>
                <c:pt idx="31">
                  <c:v>0.37</c:v>
                </c:pt>
                <c:pt idx="32">
                  <c:v>0.31999999999999995</c:v>
                </c:pt>
                <c:pt idx="33">
                  <c:v>0.30999999999999994</c:v>
                </c:pt>
                <c:pt idx="34">
                  <c:v>0.29000000000000004</c:v>
                </c:pt>
                <c:pt idx="35">
                  <c:v>0.25999999999999995</c:v>
                </c:pt>
                <c:pt idx="36">
                  <c:v>0.24000000000000005</c:v>
                </c:pt>
                <c:pt idx="37">
                  <c:v>0.21000000000000002</c:v>
                </c:pt>
                <c:pt idx="38">
                  <c:v>0.21000000000000002</c:v>
                </c:pt>
                <c:pt idx="39">
                  <c:v>0.22000000000000003</c:v>
                </c:pt>
                <c:pt idx="40">
                  <c:v>0.18999999999999997</c:v>
                </c:pt>
                <c:pt idx="41">
                  <c:v>0.17</c:v>
                </c:pt>
                <c:pt idx="42">
                  <c:v>0.15999999999999998</c:v>
                </c:pt>
                <c:pt idx="43">
                  <c:v>0.15</c:v>
                </c:pt>
                <c:pt idx="44">
                  <c:v>0.13999999999999999</c:v>
                </c:pt>
                <c:pt idx="45">
                  <c:v>0.13</c:v>
                </c:pt>
                <c:pt idx="46">
                  <c:v>0.11000000000000001</c:v>
                </c:pt>
                <c:pt idx="47">
                  <c:v>0.11900000000000001</c:v>
                </c:pt>
                <c:pt idx="48">
                  <c:v>0.13400000000000001</c:v>
                </c:pt>
                <c:pt idx="49">
                  <c:v>9.4000000000000014E-2</c:v>
                </c:pt>
                <c:pt idx="50">
                  <c:v>0.105</c:v>
                </c:pt>
                <c:pt idx="51">
                  <c:v>9.4E-2</c:v>
                </c:pt>
                <c:pt idx="52">
                  <c:v>7.6999999999999999E-2</c:v>
                </c:pt>
                <c:pt idx="53">
                  <c:v>7.5999999999999998E-2</c:v>
                </c:pt>
                <c:pt idx="54">
                  <c:v>0.08</c:v>
                </c:pt>
                <c:pt idx="55">
                  <c:v>7.6999999999999999E-2</c:v>
                </c:pt>
                <c:pt idx="56">
                  <c:v>0.06</c:v>
                </c:pt>
                <c:pt idx="57">
                  <c:v>6.7000000000000004E-2</c:v>
                </c:pt>
                <c:pt idx="58">
                  <c:v>0.06</c:v>
                </c:pt>
                <c:pt idx="59">
                  <c:v>0.06</c:v>
                </c:pt>
                <c:pt idx="60">
                  <c:v>4.8000000000000001E-2</c:v>
                </c:pt>
                <c:pt idx="61">
                  <c:v>5.2000000000000005E-2</c:v>
                </c:pt>
                <c:pt idx="62">
                  <c:v>4.0000000000000008E-2</c:v>
                </c:pt>
                <c:pt idx="63">
                  <c:v>3.9999999999999994E-2</c:v>
                </c:pt>
                <c:pt idx="64">
                  <c:v>4.4999999999999998E-2</c:v>
                </c:pt>
                <c:pt idx="65">
                  <c:v>4.0000000000000008E-2</c:v>
                </c:pt>
                <c:pt idx="66">
                  <c:v>0.03</c:v>
                </c:pt>
                <c:pt idx="67">
                  <c:v>0.03</c:v>
                </c:pt>
                <c:pt idx="68">
                  <c:v>4.0000000000000008E-2</c:v>
                </c:pt>
                <c:pt idx="69">
                  <c:v>0.03</c:v>
                </c:pt>
                <c:pt idx="70">
                  <c:v>0.03</c:v>
                </c:pt>
                <c:pt idx="71">
                  <c:v>0.03</c:v>
                </c:pt>
                <c:pt idx="72">
                  <c:v>1.0000000000000009E-2</c:v>
                </c:pt>
                <c:pt idx="73">
                  <c:v>9.9999999999999811E-3</c:v>
                </c:pt>
                <c:pt idx="74">
                  <c:v>0.03</c:v>
                </c:pt>
                <c:pt idx="75">
                  <c:v>1.999999999999999E-2</c:v>
                </c:pt>
                <c:pt idx="76">
                  <c:v>1.0000000000000009E-2</c:v>
                </c:pt>
                <c:pt idx="77">
                  <c:v>2.0000000000000018E-2</c:v>
                </c:pt>
                <c:pt idx="78">
                  <c:v>2.0000000000000018E-2</c:v>
                </c:pt>
                <c:pt idx="79">
                  <c:v>3.0000000000000027E-2</c:v>
                </c:pt>
                <c:pt idx="80">
                  <c:v>2.0000000000000018E-2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F69-4B11-BFD2-0E5AFD4A7F64}"/>
            </c:ext>
          </c:extLst>
        </c:ser>
        <c:marker val="1"/>
        <c:axId val="138569984"/>
        <c:axId val="138600448"/>
      </c:lineChart>
      <c:catAx>
        <c:axId val="138569984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600448"/>
        <c:crosses val="autoZero"/>
        <c:auto val="1"/>
        <c:lblAlgn val="ctr"/>
        <c:lblOffset val="100"/>
      </c:catAx>
      <c:valAx>
        <c:axId val="13860044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56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Лист1!$B$1</c:f>
              <c:strCache>
                <c:ptCount val="1"/>
                <c:pt idx="0">
                  <c:v>До включения [мкТл]</c:v>
                </c:pt>
              </c:strCache>
            </c:strRef>
          </c:tx>
          <c:marker>
            <c:symbol val="none"/>
          </c:marker>
          <c:val>
            <c:numRef>
              <c:f>Лист1!$B$2:$B$116</c:f>
              <c:numCache>
                <c:formatCode>General</c:formatCode>
                <c:ptCount val="115"/>
                <c:pt idx="0" formatCode="0.00">
                  <c:v>-1.4</c:v>
                </c:pt>
                <c:pt idx="1">
                  <c:v>-1.4</c:v>
                </c:pt>
                <c:pt idx="2">
                  <c:v>-1.4</c:v>
                </c:pt>
                <c:pt idx="3">
                  <c:v>-1.4</c:v>
                </c:pt>
                <c:pt idx="4">
                  <c:v>-1.3</c:v>
                </c:pt>
                <c:pt idx="5">
                  <c:v>-1.3</c:v>
                </c:pt>
                <c:pt idx="6">
                  <c:v>-1.3</c:v>
                </c:pt>
                <c:pt idx="7">
                  <c:v>-1.3</c:v>
                </c:pt>
                <c:pt idx="8">
                  <c:v>-1.3</c:v>
                </c:pt>
                <c:pt idx="9">
                  <c:v>-1.2</c:v>
                </c:pt>
                <c:pt idx="10">
                  <c:v>-1.2</c:v>
                </c:pt>
                <c:pt idx="11">
                  <c:v>-1.2</c:v>
                </c:pt>
                <c:pt idx="12">
                  <c:v>-1.2</c:v>
                </c:pt>
                <c:pt idx="13">
                  <c:v>-1.2</c:v>
                </c:pt>
                <c:pt idx="14">
                  <c:v>-1.2</c:v>
                </c:pt>
                <c:pt idx="15">
                  <c:v>-1.2</c:v>
                </c:pt>
                <c:pt idx="16">
                  <c:v>-1.1000000000000001</c:v>
                </c:pt>
                <c:pt idx="17">
                  <c:v>-1.1000000000000001</c:v>
                </c:pt>
                <c:pt idx="18">
                  <c:v>-1.1000000000000001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-0.98</c:v>
                </c:pt>
                <c:pt idx="22">
                  <c:v>-0.98</c:v>
                </c:pt>
                <c:pt idx="23">
                  <c:v>-0.95</c:v>
                </c:pt>
                <c:pt idx="24">
                  <c:v>-0.93</c:v>
                </c:pt>
                <c:pt idx="25">
                  <c:v>-0.92</c:v>
                </c:pt>
                <c:pt idx="26">
                  <c:v>-0.9</c:v>
                </c:pt>
                <c:pt idx="27">
                  <c:v>-0.85</c:v>
                </c:pt>
                <c:pt idx="28">
                  <c:v>-0.83</c:v>
                </c:pt>
                <c:pt idx="29">
                  <c:v>-0.81</c:v>
                </c:pt>
                <c:pt idx="30">
                  <c:v>-0.77</c:v>
                </c:pt>
                <c:pt idx="31">
                  <c:v>-0.74</c:v>
                </c:pt>
                <c:pt idx="32">
                  <c:v>-0.71</c:v>
                </c:pt>
                <c:pt idx="33">
                  <c:v>-0.69</c:v>
                </c:pt>
                <c:pt idx="34">
                  <c:v>-0.65</c:v>
                </c:pt>
                <c:pt idx="35">
                  <c:v>-0.6</c:v>
                </c:pt>
                <c:pt idx="36">
                  <c:v>-0.56000000000000005</c:v>
                </c:pt>
                <c:pt idx="37">
                  <c:v>-0.52</c:v>
                </c:pt>
                <c:pt idx="38">
                  <c:v>-0.5</c:v>
                </c:pt>
                <c:pt idx="39">
                  <c:v>-0.46</c:v>
                </c:pt>
                <c:pt idx="40">
                  <c:v>-0.42</c:v>
                </c:pt>
                <c:pt idx="41">
                  <c:v>-0.38</c:v>
                </c:pt>
                <c:pt idx="42">
                  <c:v>-0.35</c:v>
                </c:pt>
                <c:pt idx="43">
                  <c:v>-0.32</c:v>
                </c:pt>
                <c:pt idx="44">
                  <c:v>-0.28999999999999998</c:v>
                </c:pt>
                <c:pt idx="45">
                  <c:v>-0.27</c:v>
                </c:pt>
                <c:pt idx="46">
                  <c:v>-0.23</c:v>
                </c:pt>
                <c:pt idx="47">
                  <c:v>-0.2</c:v>
                </c:pt>
                <c:pt idx="48">
                  <c:v>-0.18</c:v>
                </c:pt>
                <c:pt idx="49">
                  <c:v>-0.14000000000000001</c:v>
                </c:pt>
                <c:pt idx="50">
                  <c:v>-0.12</c:v>
                </c:pt>
                <c:pt idx="51">
                  <c:v>-9.2999999999999999E-2</c:v>
                </c:pt>
                <c:pt idx="52">
                  <c:v>-5.3999999999999999E-2</c:v>
                </c:pt>
                <c:pt idx="53">
                  <c:v>-3.5999999999999997E-2</c:v>
                </c:pt>
                <c:pt idx="54">
                  <c:v>-0.02</c:v>
                </c:pt>
                <c:pt idx="55">
                  <c:v>0</c:v>
                </c:pt>
                <c:pt idx="56">
                  <c:v>0.02</c:v>
                </c:pt>
                <c:pt idx="57">
                  <c:v>0.03</c:v>
                </c:pt>
                <c:pt idx="58">
                  <c:v>0.05</c:v>
                </c:pt>
                <c:pt idx="59">
                  <c:v>0.06</c:v>
                </c:pt>
                <c:pt idx="60">
                  <c:v>7.1999999999999995E-2</c:v>
                </c:pt>
                <c:pt idx="61">
                  <c:v>7.8E-2</c:v>
                </c:pt>
                <c:pt idx="62">
                  <c:v>0.1</c:v>
                </c:pt>
                <c:pt idx="63">
                  <c:v>0.11</c:v>
                </c:pt>
                <c:pt idx="64">
                  <c:v>0.11700000000000001</c:v>
                </c:pt>
                <c:pt idx="65">
                  <c:v>0.13</c:v>
                </c:pt>
                <c:pt idx="66">
                  <c:v>0.14000000000000001</c:v>
                </c:pt>
                <c:pt idx="67">
                  <c:v>0.15</c:v>
                </c:pt>
                <c:pt idx="68">
                  <c:v>0.16</c:v>
                </c:pt>
                <c:pt idx="69">
                  <c:v>0.16</c:v>
                </c:pt>
                <c:pt idx="70">
                  <c:v>0.16</c:v>
                </c:pt>
                <c:pt idx="71">
                  <c:v>0.17</c:v>
                </c:pt>
                <c:pt idx="72">
                  <c:v>0.19</c:v>
                </c:pt>
                <c:pt idx="73">
                  <c:v>0.2</c:v>
                </c:pt>
                <c:pt idx="74">
                  <c:v>0.19</c:v>
                </c:pt>
                <c:pt idx="75">
                  <c:v>0.22</c:v>
                </c:pt>
                <c:pt idx="76">
                  <c:v>0.25</c:v>
                </c:pt>
                <c:pt idx="77">
                  <c:v>0.24</c:v>
                </c:pt>
                <c:pt idx="78">
                  <c:v>0.24</c:v>
                </c:pt>
                <c:pt idx="79">
                  <c:v>0.25</c:v>
                </c:pt>
                <c:pt idx="80">
                  <c:v>0.26</c:v>
                </c:pt>
              </c:numCache>
            </c:numRef>
          </c:val>
        </c:ser>
        <c:marker val="1"/>
        <c:axId val="139221248"/>
        <c:axId val="139231232"/>
      </c:lineChart>
      <c:catAx>
        <c:axId val="139221248"/>
        <c:scaling>
          <c:orientation val="minMax"/>
        </c:scaling>
        <c:axPos val="b"/>
        <c:tickLblPos val="nextTo"/>
        <c:crossAx val="139231232"/>
        <c:crosses val="autoZero"/>
        <c:auto val="1"/>
        <c:lblAlgn val="ctr"/>
        <c:lblOffset val="100"/>
      </c:catAx>
      <c:valAx>
        <c:axId val="139231232"/>
        <c:scaling>
          <c:orientation val="minMax"/>
        </c:scaling>
        <c:axPos val="l"/>
        <c:majorGridlines/>
        <c:numFmt formatCode="0.00" sourceLinked="1"/>
        <c:tickLblPos val="nextTo"/>
        <c:crossAx val="139221248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v>Эксп.</c:v>
          </c:tx>
          <c:marker>
            <c:symbol val="none"/>
          </c:marker>
          <c:val>
            <c:numRef>
              <c:f>Лист1!$D$16:$D$82</c:f>
              <c:numCache>
                <c:formatCode>0.00</c:formatCode>
                <c:ptCount val="67"/>
                <c:pt idx="0">
                  <c:v>2.5</c:v>
                </c:pt>
                <c:pt idx="1">
                  <c:v>2.1</c:v>
                </c:pt>
                <c:pt idx="2">
                  <c:v>1.8</c:v>
                </c:pt>
                <c:pt idx="3">
                  <c:v>1.7270000000000001</c:v>
                </c:pt>
                <c:pt idx="4">
                  <c:v>1.4700000000000002</c:v>
                </c:pt>
                <c:pt idx="5">
                  <c:v>1.33</c:v>
                </c:pt>
                <c:pt idx="6">
                  <c:v>1.1000000000000001</c:v>
                </c:pt>
                <c:pt idx="7">
                  <c:v>0.95</c:v>
                </c:pt>
                <c:pt idx="8">
                  <c:v>0.87</c:v>
                </c:pt>
                <c:pt idx="9">
                  <c:v>0.77999999999999992</c:v>
                </c:pt>
                <c:pt idx="10">
                  <c:v>0.69000000000000006</c:v>
                </c:pt>
                <c:pt idx="11">
                  <c:v>0.62000000000000011</c:v>
                </c:pt>
                <c:pt idx="12">
                  <c:v>0.58000000000000007</c:v>
                </c:pt>
                <c:pt idx="13">
                  <c:v>0.51</c:v>
                </c:pt>
                <c:pt idx="14">
                  <c:v>0.48999999999999994</c:v>
                </c:pt>
                <c:pt idx="15">
                  <c:v>0.45000000000000007</c:v>
                </c:pt>
                <c:pt idx="16">
                  <c:v>0.39</c:v>
                </c:pt>
                <c:pt idx="17">
                  <c:v>0.37</c:v>
                </c:pt>
                <c:pt idx="18">
                  <c:v>0.31999999999999995</c:v>
                </c:pt>
                <c:pt idx="19">
                  <c:v>0.30999999999999994</c:v>
                </c:pt>
                <c:pt idx="20">
                  <c:v>0.29000000000000004</c:v>
                </c:pt>
                <c:pt idx="21">
                  <c:v>0.25999999999999995</c:v>
                </c:pt>
                <c:pt idx="22">
                  <c:v>0.24000000000000005</c:v>
                </c:pt>
                <c:pt idx="23">
                  <c:v>0.21000000000000002</c:v>
                </c:pt>
                <c:pt idx="24">
                  <c:v>0.21000000000000002</c:v>
                </c:pt>
                <c:pt idx="25">
                  <c:v>0.22000000000000003</c:v>
                </c:pt>
                <c:pt idx="26">
                  <c:v>0.18999999999999997</c:v>
                </c:pt>
                <c:pt idx="27">
                  <c:v>0.17</c:v>
                </c:pt>
                <c:pt idx="28">
                  <c:v>0.15999999999999998</c:v>
                </c:pt>
                <c:pt idx="29">
                  <c:v>0.15</c:v>
                </c:pt>
                <c:pt idx="30">
                  <c:v>0.13999999999999999</c:v>
                </c:pt>
                <c:pt idx="31">
                  <c:v>0.13</c:v>
                </c:pt>
                <c:pt idx="32">
                  <c:v>0.11000000000000001</c:v>
                </c:pt>
                <c:pt idx="33">
                  <c:v>0.11900000000000001</c:v>
                </c:pt>
                <c:pt idx="34">
                  <c:v>0.13400000000000001</c:v>
                </c:pt>
                <c:pt idx="35">
                  <c:v>9.4000000000000014E-2</c:v>
                </c:pt>
                <c:pt idx="36">
                  <c:v>0.105</c:v>
                </c:pt>
                <c:pt idx="37">
                  <c:v>9.4E-2</c:v>
                </c:pt>
                <c:pt idx="38">
                  <c:v>7.6999999999999999E-2</c:v>
                </c:pt>
                <c:pt idx="39">
                  <c:v>7.5999999999999998E-2</c:v>
                </c:pt>
                <c:pt idx="40">
                  <c:v>0.08</c:v>
                </c:pt>
                <c:pt idx="41">
                  <c:v>7.6999999999999999E-2</c:v>
                </c:pt>
                <c:pt idx="42">
                  <c:v>0.06</c:v>
                </c:pt>
                <c:pt idx="43">
                  <c:v>6.7000000000000004E-2</c:v>
                </c:pt>
                <c:pt idx="44">
                  <c:v>0.06</c:v>
                </c:pt>
                <c:pt idx="45">
                  <c:v>0.06</c:v>
                </c:pt>
                <c:pt idx="46">
                  <c:v>4.8000000000000001E-2</c:v>
                </c:pt>
                <c:pt idx="47">
                  <c:v>5.2000000000000005E-2</c:v>
                </c:pt>
                <c:pt idx="48">
                  <c:v>4.0000000000000008E-2</c:v>
                </c:pt>
                <c:pt idx="49">
                  <c:v>3.9999999999999994E-2</c:v>
                </c:pt>
                <c:pt idx="50">
                  <c:v>4.4999999999999998E-2</c:v>
                </c:pt>
                <c:pt idx="51">
                  <c:v>4.0000000000000008E-2</c:v>
                </c:pt>
                <c:pt idx="52">
                  <c:v>0.03</c:v>
                </c:pt>
                <c:pt idx="53">
                  <c:v>0.03</c:v>
                </c:pt>
                <c:pt idx="54">
                  <c:v>4.0000000000000008E-2</c:v>
                </c:pt>
                <c:pt idx="55">
                  <c:v>0.03</c:v>
                </c:pt>
                <c:pt idx="56">
                  <c:v>0.03</c:v>
                </c:pt>
                <c:pt idx="57">
                  <c:v>0.03</c:v>
                </c:pt>
                <c:pt idx="58">
                  <c:v>1.0000000000000009E-2</c:v>
                </c:pt>
                <c:pt idx="59">
                  <c:v>9.9999999999999811E-3</c:v>
                </c:pt>
                <c:pt idx="60">
                  <c:v>0.03</c:v>
                </c:pt>
                <c:pt idx="61">
                  <c:v>1.999999999999999E-2</c:v>
                </c:pt>
                <c:pt idx="62">
                  <c:v>1.0000000000000009E-2</c:v>
                </c:pt>
                <c:pt idx="63">
                  <c:v>2.0000000000000018E-2</c:v>
                </c:pt>
                <c:pt idx="64">
                  <c:v>2.0000000000000018E-2</c:v>
                </c:pt>
                <c:pt idx="65">
                  <c:v>3.0000000000000027E-2</c:v>
                </c:pt>
                <c:pt idx="66">
                  <c:v>2.0000000000000018E-2</c:v>
                </c:pt>
              </c:numCache>
            </c:numRef>
          </c:val>
        </c:ser>
        <c:ser>
          <c:idx val="1"/>
          <c:order val="1"/>
          <c:tx>
            <c:v>Расч.</c:v>
          </c:tx>
          <c:marker>
            <c:symbol val="none"/>
          </c:marker>
          <c:val>
            <c:numRef>
              <c:f>Лист1!$E$16:$E$82</c:f>
              <c:numCache>
                <c:formatCode>General</c:formatCode>
                <c:ptCount val="67"/>
                <c:pt idx="0">
                  <c:v>7.1155211919273347</c:v>
                </c:pt>
                <c:pt idx="1">
                  <c:v>5.8630087946178584</c:v>
                </c:pt>
                <c:pt idx="2">
                  <c:v>4.8880285004589341</c:v>
                </c:pt>
                <c:pt idx="3">
                  <c:v>4.1177784675505409</c:v>
                </c:pt>
                <c:pt idx="4">
                  <c:v>3.5012223389349399</c:v>
                </c:pt>
                <c:pt idx="5">
                  <c:v>3.0018605028443437</c:v>
                </c:pt>
                <c:pt idx="6">
                  <c:v>2.5931199679035477</c:v>
                </c:pt>
                <c:pt idx="7">
                  <c:v>2.2553422260288083</c:v>
                </c:pt>
                <c:pt idx="8">
                  <c:v>1.9737720081166066</c:v>
                </c:pt>
                <c:pt idx="9">
                  <c:v>1.7371877909978843</c:v>
                </c:pt>
                <c:pt idx="10">
                  <c:v>1.5369525774563042</c:v>
                </c:pt>
                <c:pt idx="11">
                  <c:v>1.3663452448085316</c:v>
                </c:pt>
                <c:pt idx="12">
                  <c:v>1.2200825089038638</c:v>
                </c:pt>
                <c:pt idx="13">
                  <c:v>1.0939724864593088</c:v>
                </c:pt>
                <c:pt idx="14">
                  <c:v>0.9846604626165385</c:v>
                </c:pt>
                <c:pt idx="15">
                  <c:v>0.88944014899091683</c:v>
                </c:pt>
                <c:pt idx="16">
                  <c:v>0.80611204802640901</c:v>
                </c:pt>
                <c:pt idx="17">
                  <c:v>0.7328760993272323</c:v>
                </c:pt>
                <c:pt idx="18">
                  <c:v>0.66824954845298024</c:v>
                </c:pt>
                <c:pt idx="19">
                  <c:v>0.61100356255736676</c:v>
                </c:pt>
                <c:pt idx="20">
                  <c:v>0.56011391306716629</c:v>
                </c:pt>
                <c:pt idx="21">
                  <c:v>0.51472230844381761</c:v>
                </c:pt>
                <c:pt idx="22">
                  <c:v>0.47410585795026461</c:v>
                </c:pt>
                <c:pt idx="23">
                  <c:v>0.43765279236686749</c:v>
                </c:pt>
                <c:pt idx="24">
                  <c:v>0.40484303549882417</c:v>
                </c:pt>
                <c:pt idx="25">
                  <c:v>0.37523256285554296</c:v>
                </c:pt>
                <c:pt idx="26">
                  <c:v>0.34844073682556492</c:v>
                </c:pt>
                <c:pt idx="27">
                  <c:v>0.32413999598794346</c:v>
                </c:pt>
                <c:pt idx="28">
                  <c:v>0.30204741749474578</c:v>
                </c:pt>
                <c:pt idx="29">
                  <c:v>0.28191777825360104</c:v>
                </c:pt>
                <c:pt idx="30">
                  <c:v>0.26353782192323461</c:v>
                </c:pt>
                <c:pt idx="31">
                  <c:v>0.24672150101457582</c:v>
                </c:pt>
                <c:pt idx="32">
                  <c:v>0.23130601141129381</c:v>
                </c:pt>
                <c:pt idx="33">
                  <c:v>0.21714847387473554</c:v>
                </c:pt>
                <c:pt idx="34">
                  <c:v>0.20412314616150376</c:v>
                </c:pt>
                <c:pt idx="35">
                  <c:v>0.19211907218203803</c:v>
                </c:pt>
                <c:pt idx="36">
                  <c:v>0.18103809260959025</c:v>
                </c:pt>
                <c:pt idx="37">
                  <c:v>0.17079315560106645</c:v>
                </c:pt>
                <c:pt idx="38">
                  <c:v>0.16130687764231375</c:v>
                </c:pt>
                <c:pt idx="39">
                  <c:v>0.15251031361298298</c:v>
                </c:pt>
                <c:pt idx="40">
                  <c:v>0.14434190246584372</c:v>
                </c:pt>
                <c:pt idx="41">
                  <c:v>0.1367465608074136</c:v>
                </c:pt>
                <c:pt idx="42">
                  <c:v>0.12967490144203483</c:v>
                </c:pt>
                <c:pt idx="43">
                  <c:v>0.12308255782706731</c:v>
                </c:pt>
                <c:pt idx="44">
                  <c:v>0.11692959856048941</c:v>
                </c:pt>
                <c:pt idx="45">
                  <c:v>0.1111800186238646</c:v>
                </c:pt>
                <c:pt idx="46">
                  <c:v>0.10580129624397969</c:v>
                </c:pt>
                <c:pt idx="47">
                  <c:v>0.10076400600330113</c:v>
                </c:pt>
                <c:pt idx="48">
                  <c:v>9.6041480292723969E-2</c:v>
                </c:pt>
                <c:pt idx="49">
                  <c:v>9.1609512415904037E-2</c:v>
                </c:pt>
                <c:pt idx="50">
                  <c:v>8.7446095667746013E-2</c:v>
                </c:pt>
                <c:pt idx="51">
                  <c:v>8.3531193556622529E-2</c:v>
                </c:pt>
                <c:pt idx="52">
                  <c:v>7.9846537049952121E-2</c:v>
                </c:pt>
                <c:pt idx="53">
                  <c:v>7.6375445319670845E-2</c:v>
                </c:pt>
                <c:pt idx="54">
                  <c:v>7.3102666967281738E-2</c:v>
                </c:pt>
                <c:pt idx="55">
                  <c:v>7.0014239133395786E-2</c:v>
                </c:pt>
                <c:pt idx="56">
                  <c:v>6.7097362256971008E-2</c:v>
                </c:pt>
                <c:pt idx="57">
                  <c:v>6.4340288555477201E-2</c:v>
                </c:pt>
                <c:pt idx="58">
                  <c:v>6.1732222557766767E-2</c:v>
                </c:pt>
                <c:pt idx="59">
                  <c:v>5.9263232243783076E-2</c:v>
                </c:pt>
                <c:pt idx="60">
                  <c:v>5.6924169535418678E-2</c:v>
                </c:pt>
                <c:pt idx="61">
                  <c:v>5.4706599045858437E-2</c:v>
                </c:pt>
                <c:pt idx="62">
                  <c:v>5.2602734134782704E-2</c:v>
                </c:pt>
                <c:pt idx="63">
                  <c:v>5.0605379437353021E-2</c:v>
                </c:pt>
                <c:pt idx="64">
                  <c:v>4.8707879138880993E-2</c:v>
                </c:pt>
                <c:pt idx="65">
                  <c:v>4.690407035694287E-2</c:v>
                </c:pt>
                <c:pt idx="66">
                  <c:v>4.518824107051346E-2</c:v>
                </c:pt>
              </c:numCache>
            </c:numRef>
          </c:val>
        </c:ser>
        <c:marker val="1"/>
        <c:axId val="139248000"/>
        <c:axId val="139249536"/>
      </c:lineChart>
      <c:catAx>
        <c:axId val="139248000"/>
        <c:scaling>
          <c:orientation val="minMax"/>
        </c:scaling>
        <c:axPos val="b"/>
        <c:tickLblPos val="nextTo"/>
        <c:crossAx val="139249536"/>
        <c:crosses val="autoZero"/>
        <c:auto val="1"/>
        <c:lblAlgn val="ctr"/>
        <c:lblOffset val="100"/>
      </c:catAx>
      <c:valAx>
        <c:axId val="139249536"/>
        <c:scaling>
          <c:orientation val="minMax"/>
        </c:scaling>
        <c:axPos val="l"/>
        <c:majorGridlines/>
        <c:numFmt formatCode="0.00" sourceLinked="1"/>
        <c:tickLblPos val="nextTo"/>
        <c:crossAx val="1392480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lineChart>
        <c:grouping val="standard"/>
        <c:ser>
          <c:idx val="0"/>
          <c:order val="0"/>
          <c:tx>
            <c:v>Относительная погрешность</c:v>
          </c:tx>
          <c:marker>
            <c:symbol val="none"/>
          </c:marker>
          <c:val>
            <c:numRef>
              <c:f>Лист1!$G$2:$G$82</c:f>
              <c:numCache>
                <c:formatCode>0%</c:formatCode>
                <c:ptCount val="81"/>
                <c:pt idx="0">
                  <c:v>564.05609465305292</c:v>
                </c:pt>
                <c:pt idx="1">
                  <c:v>80.572296272944115</c:v>
                </c:pt>
                <c:pt idx="2">
                  <c:v>27.87792691528951</c:v>
                </c:pt>
                <c:pt idx="3">
                  <c:v>14.832597588841475</c:v>
                </c:pt>
                <c:pt idx="4">
                  <c:v>9.0062016761478141</c:v>
                </c:pt>
                <c:pt idx="5">
                  <c:v>6.3144749094647752</c:v>
                </c:pt>
                <c:pt idx="6">
                  <c:v>4.8835495070080475</c:v>
                </c:pt>
                <c:pt idx="7">
                  <c:v>3.8858406621815478</c:v>
                </c:pt>
                <c:pt idx="8">
                  <c:v>3.278211394857705</c:v>
                </c:pt>
                <c:pt idx="9">
                  <c:v>2.7523256285554298</c:v>
                </c:pt>
                <c:pt idx="10">
                  <c:v>2.5377917271040134</c:v>
                </c:pt>
                <c:pt idx="11">
                  <c:v>2.3896347141422138</c:v>
                </c:pt>
                <c:pt idx="12">
                  <c:v>2.1230748452766437</c:v>
                </c:pt>
                <c:pt idx="13">
                  <c:v>1.91725996389149</c:v>
                </c:pt>
                <c:pt idx="14">
                  <c:v>1.8462084767709339</c:v>
                </c:pt>
                <c:pt idx="15">
                  <c:v>1.7919089498180276</c:v>
                </c:pt>
                <c:pt idx="16">
                  <c:v>1.7155713891438524</c:v>
                </c:pt>
                <c:pt idx="17">
                  <c:v>1.3843534843952174</c:v>
                </c:pt>
                <c:pt idx="18">
                  <c:v>1.3817839040373738</c:v>
                </c:pt>
                <c:pt idx="19">
                  <c:v>1.2570379720634162</c:v>
                </c:pt>
                <c:pt idx="20">
                  <c:v>1.3573817890032249</c:v>
                </c:pt>
                <c:pt idx="21">
                  <c:v>1.3740444484513772</c:v>
                </c:pt>
                <c:pt idx="22">
                  <c:v>1.2687034576052951</c:v>
                </c:pt>
                <c:pt idx="23">
                  <c:v>1.2271638346126725</c:v>
                </c:pt>
                <c:pt idx="24">
                  <c:v>1.227467503559861</c:v>
                </c:pt>
                <c:pt idx="25">
                  <c:v>1.2037826529169862</c:v>
                </c:pt>
                <c:pt idx="26">
                  <c:v>1.1035905325928683</c:v>
                </c:pt>
                <c:pt idx="27">
                  <c:v>1.1450440910966839</c:v>
                </c:pt>
                <c:pt idx="28">
                  <c:v>1.0095111481970176</c:v>
                </c:pt>
                <c:pt idx="29">
                  <c:v>0.97653366442425937</c:v>
                </c:pt>
                <c:pt idx="30">
                  <c:v>1.0669539692984846</c:v>
                </c:pt>
                <c:pt idx="31">
                  <c:v>0.9807462143979252</c:v>
                </c:pt>
                <c:pt idx="32">
                  <c:v>1.0882798389155635</c:v>
                </c:pt>
                <c:pt idx="33">
                  <c:v>0.97097923405602216</c:v>
                </c:pt>
                <c:pt idx="34">
                  <c:v>0.93142728643850425</c:v>
                </c:pt>
                <c:pt idx="35">
                  <c:v>0.97970118632237579</c:v>
                </c:pt>
                <c:pt idx="36">
                  <c:v>0.97544107479276887</c:v>
                </c:pt>
                <c:pt idx="37">
                  <c:v>1.0840609160327022</c:v>
                </c:pt>
                <c:pt idx="38">
                  <c:v>0.92782397856582921</c:v>
                </c:pt>
                <c:pt idx="39">
                  <c:v>0.70560255843428599</c:v>
                </c:pt>
                <c:pt idx="40">
                  <c:v>0.83389861487139461</c:v>
                </c:pt>
                <c:pt idx="41">
                  <c:v>0.90670585875260845</c:v>
                </c:pt>
                <c:pt idx="42">
                  <c:v>0.88779635934216139</c:v>
                </c:pt>
                <c:pt idx="43">
                  <c:v>0.87945185502400702</c:v>
                </c:pt>
                <c:pt idx="44">
                  <c:v>0.88241301373739023</c:v>
                </c:pt>
                <c:pt idx="45">
                  <c:v>0.89785770011212163</c:v>
                </c:pt>
                <c:pt idx="46">
                  <c:v>1.1027819219208526</c:v>
                </c:pt>
                <c:pt idx="47">
                  <c:v>0.82477709138433219</c:v>
                </c:pt>
                <c:pt idx="48">
                  <c:v>0.52330706090674439</c:v>
                </c:pt>
                <c:pt idx="49">
                  <c:v>1.0438199168301914</c:v>
                </c:pt>
                <c:pt idx="50">
                  <c:v>0.72417231056752629</c:v>
                </c:pt>
                <c:pt idx="51">
                  <c:v>0.8169484638411324</c:v>
                </c:pt>
                <c:pt idx="52">
                  <c:v>1.0948945148352434</c:v>
                </c:pt>
                <c:pt idx="53">
                  <c:v>1.0067146528024076</c:v>
                </c:pt>
                <c:pt idx="54">
                  <c:v>0.80427378082304646</c:v>
                </c:pt>
                <c:pt idx="55">
                  <c:v>0.77592936113524158</c:v>
                </c:pt>
                <c:pt idx="56">
                  <c:v>1.1612483573672474</c:v>
                </c:pt>
                <c:pt idx="57">
                  <c:v>0.83705310189652693</c:v>
                </c:pt>
                <c:pt idx="58">
                  <c:v>0.94882664267482364</c:v>
                </c:pt>
                <c:pt idx="59">
                  <c:v>0.85300031039774349</c:v>
                </c:pt>
                <c:pt idx="60">
                  <c:v>1.2041936717495767</c:v>
                </c:pt>
                <c:pt idx="61">
                  <c:v>0.93776934621732921</c:v>
                </c:pt>
                <c:pt idx="62">
                  <c:v>1.4010370073180987</c:v>
                </c:pt>
                <c:pt idx="63">
                  <c:v>1.2902378103976013</c:v>
                </c:pt>
                <c:pt idx="64">
                  <c:v>0.94324657039435589</c:v>
                </c:pt>
                <c:pt idx="65">
                  <c:v>1.0882798389155628</c:v>
                </c:pt>
                <c:pt idx="66">
                  <c:v>1.6615512349984041</c:v>
                </c:pt>
                <c:pt idx="67">
                  <c:v>1.5458481773223616</c:v>
                </c:pt>
                <c:pt idx="68">
                  <c:v>0.8275666741820431</c:v>
                </c:pt>
                <c:pt idx="69">
                  <c:v>1.3338079711131929</c:v>
                </c:pt>
                <c:pt idx="70">
                  <c:v>1.2365787418990337</c:v>
                </c:pt>
                <c:pt idx="71">
                  <c:v>1.1446762851825734</c:v>
                </c:pt>
                <c:pt idx="72">
                  <c:v>5.1732222557766709</c:v>
                </c:pt>
                <c:pt idx="73">
                  <c:v>4.9263232243783186</c:v>
                </c:pt>
                <c:pt idx="74">
                  <c:v>0.89747231784728931</c:v>
                </c:pt>
                <c:pt idx="75">
                  <c:v>1.7353299522929233</c:v>
                </c:pt>
                <c:pt idx="76">
                  <c:v>4.2602734134782656</c:v>
                </c:pt>
                <c:pt idx="77">
                  <c:v>1.5302689718676488</c:v>
                </c:pt>
                <c:pt idx="78">
                  <c:v>1.4353939569440475</c:v>
                </c:pt>
                <c:pt idx="79">
                  <c:v>0.56346901189809429</c:v>
                </c:pt>
                <c:pt idx="80">
                  <c:v>1.259412053525671</c:v>
                </c:pt>
              </c:numCache>
            </c:numRef>
          </c:val>
        </c:ser>
        <c:marker val="1"/>
        <c:axId val="140645888"/>
        <c:axId val="140647424"/>
      </c:lineChart>
      <c:catAx>
        <c:axId val="140645888"/>
        <c:scaling>
          <c:orientation val="minMax"/>
        </c:scaling>
        <c:axPos val="b"/>
        <c:tickLblPos val="nextTo"/>
        <c:crossAx val="140647424"/>
        <c:crosses val="autoZero"/>
        <c:auto val="1"/>
        <c:lblAlgn val="ctr"/>
        <c:lblOffset val="100"/>
      </c:catAx>
      <c:valAx>
        <c:axId val="140647424"/>
        <c:scaling>
          <c:logBase val="10"/>
          <c:orientation val="minMax"/>
        </c:scaling>
        <c:axPos val="l"/>
        <c:majorGridlines/>
        <c:numFmt formatCode="0%" sourceLinked="1"/>
        <c:tickLblPos val="nextTo"/>
        <c:crossAx val="1406458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53</xdr:row>
      <xdr:rowOff>33337</xdr:rowOff>
    </xdr:from>
    <xdr:to>
      <xdr:col>17</xdr:col>
      <xdr:colOff>314325</xdr:colOff>
      <xdr:row>67</xdr:row>
      <xdr:rowOff>109537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67</xdr:row>
      <xdr:rowOff>119062</xdr:rowOff>
    </xdr:from>
    <xdr:to>
      <xdr:col>17</xdr:col>
      <xdr:colOff>314325</xdr:colOff>
      <xdr:row>82</xdr:row>
      <xdr:rowOff>4762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38</xdr:row>
      <xdr:rowOff>152400</xdr:rowOff>
    </xdr:from>
    <xdr:to>
      <xdr:col>17</xdr:col>
      <xdr:colOff>314325</xdr:colOff>
      <xdr:row>53</xdr:row>
      <xdr:rowOff>38100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609599</xdr:colOff>
      <xdr:row>24</xdr:row>
      <xdr:rowOff>76200</xdr:rowOff>
    </xdr:from>
    <xdr:to>
      <xdr:col>17</xdr:col>
      <xdr:colOff>304799</xdr:colOff>
      <xdr:row>38</xdr:row>
      <xdr:rowOff>152400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topLeftCell="A52" workbookViewId="0">
      <selection activeCell="E9" sqref="E9"/>
    </sheetView>
  </sheetViews>
  <sheetFormatPr defaultRowHeight="15"/>
  <cols>
    <col min="1" max="1" width="13.85546875" customWidth="1"/>
    <col min="2" max="2" width="19" customWidth="1"/>
    <col min="3" max="3" width="20" customWidth="1"/>
    <col min="4" max="4" width="24.42578125" customWidth="1"/>
    <col min="5" max="5" width="24.7109375" customWidth="1"/>
    <col min="6" max="6" width="47" customWidth="1"/>
    <col min="7" max="7" width="12" bestFit="1" customWidth="1"/>
    <col min="8" max="8" width="14.5703125" customWidth="1"/>
    <col min="9" max="9" width="13.28515625" customWidth="1"/>
    <col min="14" max="14" width="29.28515625" customWidth="1"/>
  </cols>
  <sheetData>
    <row r="1" spans="1:16">
      <c r="A1" t="s">
        <v>3</v>
      </c>
      <c r="B1" t="s">
        <v>4</v>
      </c>
      <c r="C1" t="s">
        <v>0</v>
      </c>
      <c r="D1" t="s">
        <v>9</v>
      </c>
      <c r="F1" t="s">
        <v>16</v>
      </c>
      <c r="G1" t="s">
        <v>17</v>
      </c>
      <c r="M1" t="s">
        <v>1</v>
      </c>
    </row>
    <row r="2" spans="1:16">
      <c r="A2">
        <v>0</v>
      </c>
      <c r="B2" s="2">
        <v>-1.4</v>
      </c>
      <c r="C2">
        <v>41.1</v>
      </c>
      <c r="D2" s="2">
        <f>C2-B2</f>
        <v>42.5</v>
      </c>
      <c r="E2">
        <f t="shared" ref="E2:E33" si="0">1000000*$N$11*$N$10/(4*PI()*((A2+1)/100)^3)</f>
        <v>24014.884022754748</v>
      </c>
      <c r="F2" s="2">
        <f>E2-D2</f>
        <v>23972.384022754748</v>
      </c>
      <c r="G2" s="3">
        <f>F2/D2</f>
        <v>564.05609465305292</v>
      </c>
      <c r="H2" s="4">
        <f>AVERAGE(G2:$G$82)</f>
        <v>10.01987917767436</v>
      </c>
      <c r="M2" t="s">
        <v>2</v>
      </c>
      <c r="O2" t="s">
        <v>6</v>
      </c>
    </row>
    <row r="3" spans="1:16">
      <c r="A3">
        <v>1</v>
      </c>
      <c r="B3">
        <v>-1.4</v>
      </c>
      <c r="C3">
        <v>35.4</v>
      </c>
      <c r="D3" s="2">
        <f t="shared" ref="D3:D66" si="1">C3-B3</f>
        <v>36.799999999999997</v>
      </c>
      <c r="E3">
        <f t="shared" si="0"/>
        <v>3001.8605028443435</v>
      </c>
      <c r="F3" s="2">
        <f t="shared" ref="F3:F66" si="2">E3-D3</f>
        <v>2965.0605028443433</v>
      </c>
      <c r="G3" s="3">
        <f t="shared" ref="G3:G66" si="3">F3/D3</f>
        <v>80.572296272944115</v>
      </c>
      <c r="H3" s="4">
        <f>AVERAGE(G3:$G$82)</f>
        <v>3.0944264842321259</v>
      </c>
      <c r="M3" t="s">
        <v>5</v>
      </c>
      <c r="N3">
        <v>440</v>
      </c>
      <c r="O3">
        <v>20</v>
      </c>
      <c r="P3" t="s">
        <v>7</v>
      </c>
    </row>
    <row r="4" spans="1:16">
      <c r="A4">
        <v>2</v>
      </c>
      <c r="B4">
        <v>-1.4</v>
      </c>
      <c r="C4">
        <v>29.4</v>
      </c>
      <c r="D4" s="2">
        <f t="shared" si="1"/>
        <v>30.799999999999997</v>
      </c>
      <c r="E4">
        <f t="shared" si="0"/>
        <v>889.44014899091678</v>
      </c>
      <c r="F4" s="2">
        <f t="shared" si="2"/>
        <v>858.64014899091683</v>
      </c>
      <c r="G4" s="3">
        <f t="shared" si="3"/>
        <v>27.87792691528951</v>
      </c>
      <c r="H4" s="4">
        <f>AVERAGE(G4:$G$82)</f>
        <v>2.1136939552610881</v>
      </c>
      <c r="M4" t="s">
        <v>8</v>
      </c>
      <c r="N4">
        <v>455</v>
      </c>
      <c r="O4">
        <v>20</v>
      </c>
      <c r="P4" t="s">
        <v>7</v>
      </c>
    </row>
    <row r="5" spans="1:16">
      <c r="A5">
        <v>3</v>
      </c>
      <c r="B5">
        <v>-1.4</v>
      </c>
      <c r="C5">
        <v>22.3</v>
      </c>
      <c r="D5" s="2">
        <f t="shared" si="1"/>
        <v>23.7</v>
      </c>
      <c r="E5">
        <f t="shared" si="0"/>
        <v>375.23256285554294</v>
      </c>
      <c r="F5" s="2">
        <f t="shared" si="2"/>
        <v>351.53256285554295</v>
      </c>
      <c r="G5" s="3">
        <f t="shared" si="3"/>
        <v>14.832597588841475</v>
      </c>
      <c r="H5" s="4">
        <f>AVERAGE(G5:$G$82)</f>
        <v>1.7833832762863646</v>
      </c>
    </row>
    <row r="6" spans="1:16">
      <c r="A6">
        <v>4</v>
      </c>
      <c r="B6">
        <v>-1.3</v>
      </c>
      <c r="C6">
        <v>17.899999999999999</v>
      </c>
      <c r="D6" s="2">
        <f t="shared" si="1"/>
        <v>19.2</v>
      </c>
      <c r="E6">
        <f t="shared" si="0"/>
        <v>192.119072182038</v>
      </c>
      <c r="F6" s="2">
        <f t="shared" si="2"/>
        <v>172.91907218203801</v>
      </c>
      <c r="G6" s="3">
        <f t="shared" si="3"/>
        <v>9.0062016761478141</v>
      </c>
      <c r="H6" s="4">
        <f>AVERAGE(G6:$G$82)</f>
        <v>1.6139129605388955</v>
      </c>
      <c r="M6" t="s">
        <v>10</v>
      </c>
      <c r="N6">
        <v>1</v>
      </c>
    </row>
    <row r="7" spans="1:16">
      <c r="A7">
        <v>5</v>
      </c>
      <c r="B7">
        <v>-1.3</v>
      </c>
      <c r="C7">
        <v>13.9</v>
      </c>
      <c r="D7" s="2">
        <f t="shared" si="1"/>
        <v>15.200000000000001</v>
      </c>
      <c r="E7">
        <f t="shared" si="0"/>
        <v>111.1800186238646</v>
      </c>
      <c r="F7" s="2">
        <f t="shared" si="2"/>
        <v>95.980018623864595</v>
      </c>
      <c r="G7" s="3">
        <f t="shared" si="3"/>
        <v>6.3144749094647752</v>
      </c>
      <c r="H7" s="4">
        <f>AVERAGE(G7:$G$82)</f>
        <v>1.5166460037545679</v>
      </c>
      <c r="M7" t="s">
        <v>11</v>
      </c>
      <c r="N7">
        <v>0.13700000000000001</v>
      </c>
    </row>
    <row r="8" spans="1:16">
      <c r="A8">
        <v>6</v>
      </c>
      <c r="B8">
        <v>-1.3</v>
      </c>
      <c r="C8">
        <v>10.6</v>
      </c>
      <c r="D8" s="2">
        <f t="shared" si="1"/>
        <v>11.9</v>
      </c>
      <c r="E8">
        <f t="shared" si="0"/>
        <v>70.014239133395762</v>
      </c>
      <c r="F8" s="2">
        <f t="shared" si="2"/>
        <v>58.114239133395763</v>
      </c>
      <c r="G8" s="3">
        <f t="shared" si="3"/>
        <v>4.8835495070080475</v>
      </c>
      <c r="H8" s="4">
        <f>AVERAGE(G8:$G$82)</f>
        <v>1.4526749516784316</v>
      </c>
      <c r="M8" t="s">
        <v>12</v>
      </c>
      <c r="N8" s="1">
        <v>2.0899999999999998E-2</v>
      </c>
      <c r="O8" s="1">
        <f>N8/2</f>
        <v>1.0449999999999999E-2</v>
      </c>
      <c r="P8" s="1">
        <f>PI()*O8*O8</f>
        <v>3.4306977175363928E-4</v>
      </c>
    </row>
    <row r="9" spans="1:16">
      <c r="A9">
        <v>7</v>
      </c>
      <c r="B9">
        <v>-1.3</v>
      </c>
      <c r="C9">
        <v>8.3000000000000007</v>
      </c>
      <c r="D9" s="2">
        <f t="shared" si="1"/>
        <v>9.6000000000000014</v>
      </c>
      <c r="E9">
        <f t="shared" si="0"/>
        <v>46.904070356942867</v>
      </c>
      <c r="F9" s="2">
        <f t="shared" si="2"/>
        <v>37.304070356942866</v>
      </c>
      <c r="G9" s="3">
        <f t="shared" si="3"/>
        <v>3.8858406621815478</v>
      </c>
      <c r="H9" s="4">
        <f>AVERAGE(G9:$G$82)</f>
        <v>1.4063117820118152</v>
      </c>
      <c r="M9" t="s">
        <v>13</v>
      </c>
      <c r="N9">
        <v>700</v>
      </c>
    </row>
    <row r="10" spans="1:16">
      <c r="A10">
        <v>8</v>
      </c>
      <c r="B10">
        <v>-1.3</v>
      </c>
      <c r="C10">
        <v>6.4</v>
      </c>
      <c r="D10" s="2">
        <f t="shared" si="1"/>
        <v>7.7</v>
      </c>
      <c r="E10">
        <f t="shared" si="0"/>
        <v>32.942227740404327</v>
      </c>
      <c r="F10" s="2">
        <f t="shared" si="2"/>
        <v>25.242227740404328</v>
      </c>
      <c r="G10" s="3">
        <f t="shared" si="3"/>
        <v>3.278211394857705</v>
      </c>
      <c r="H10" s="4">
        <f>AVERAGE(G10:$G$82)</f>
        <v>1.3723456329683943</v>
      </c>
      <c r="M10" t="s">
        <v>14</v>
      </c>
      <c r="N10" s="1">
        <f>N6*((N8/2)^2)*PI()*N9</f>
        <v>0.24014884022754754</v>
      </c>
    </row>
    <row r="11" spans="1:16">
      <c r="A11">
        <v>9</v>
      </c>
      <c r="B11">
        <v>-1.2</v>
      </c>
      <c r="C11">
        <v>5.2</v>
      </c>
      <c r="D11" s="2">
        <f t="shared" si="1"/>
        <v>6.4</v>
      </c>
      <c r="E11">
        <f t="shared" si="0"/>
        <v>24.01488402275475</v>
      </c>
      <c r="F11" s="2">
        <f t="shared" si="2"/>
        <v>17.614884022754751</v>
      </c>
      <c r="G11" s="3">
        <f t="shared" si="3"/>
        <v>2.7523256285554298</v>
      </c>
      <c r="H11" s="4">
        <f>AVERAGE(G11:$G$82)</f>
        <v>1.3458752751643763</v>
      </c>
      <c r="M11" t="s">
        <v>15</v>
      </c>
      <c r="N11">
        <f>PI()*0.0000004</f>
        <v>1.2566370614359173E-6</v>
      </c>
    </row>
    <row r="12" spans="1:16">
      <c r="A12">
        <v>10</v>
      </c>
      <c r="B12">
        <v>-1.2</v>
      </c>
      <c r="C12">
        <v>3.9</v>
      </c>
      <c r="D12" s="2">
        <f t="shared" si="1"/>
        <v>5.0999999999999996</v>
      </c>
      <c r="E12">
        <f t="shared" si="0"/>
        <v>18.042737808230466</v>
      </c>
      <c r="F12" s="2">
        <f t="shared" si="2"/>
        <v>12.942737808230467</v>
      </c>
      <c r="G12" s="3">
        <f t="shared" si="3"/>
        <v>2.5377917271040134</v>
      </c>
      <c r="H12" s="4">
        <f>AVERAGE(G12:$G$82)</f>
        <v>1.3260661152574602</v>
      </c>
    </row>
    <row r="13" spans="1:16">
      <c r="A13">
        <v>11</v>
      </c>
      <c r="B13">
        <v>-1.2</v>
      </c>
      <c r="C13">
        <v>2.9</v>
      </c>
      <c r="D13" s="2">
        <f t="shared" si="1"/>
        <v>4.0999999999999996</v>
      </c>
      <c r="E13">
        <f t="shared" si="0"/>
        <v>13.897502327983075</v>
      </c>
      <c r="F13" s="2">
        <f t="shared" si="2"/>
        <v>9.7975023279830751</v>
      </c>
      <c r="G13" s="3">
        <f t="shared" si="3"/>
        <v>2.3896347141422138</v>
      </c>
      <c r="H13" s="4">
        <f>AVERAGE(G13:$G$82)</f>
        <v>1.3087557493739379</v>
      </c>
    </row>
    <row r="14" spans="1:16">
      <c r="A14">
        <v>12</v>
      </c>
      <c r="B14">
        <v>-1.2</v>
      </c>
      <c r="C14">
        <v>2.2999999999999998</v>
      </c>
      <c r="D14" s="2">
        <f t="shared" si="1"/>
        <v>3.5</v>
      </c>
      <c r="E14">
        <f t="shared" si="0"/>
        <v>10.930761958468253</v>
      </c>
      <c r="F14" s="2">
        <f t="shared" si="2"/>
        <v>7.4307619584682527</v>
      </c>
      <c r="G14" s="3">
        <f t="shared" si="3"/>
        <v>2.1230748452766437</v>
      </c>
      <c r="H14" s="4">
        <f>AVERAGE(G14:$G$82)</f>
        <v>1.2930908368410647</v>
      </c>
    </row>
    <row r="15" spans="1:16">
      <c r="A15">
        <v>13</v>
      </c>
      <c r="B15">
        <v>-1.2</v>
      </c>
      <c r="C15">
        <v>1.8</v>
      </c>
      <c r="D15" s="2">
        <f t="shared" si="1"/>
        <v>3</v>
      </c>
      <c r="E15">
        <f t="shared" si="0"/>
        <v>8.7517798916744702</v>
      </c>
      <c r="F15" s="2">
        <f t="shared" si="2"/>
        <v>5.7517798916744702</v>
      </c>
      <c r="G15" s="3">
        <f t="shared" si="3"/>
        <v>1.91725996389149</v>
      </c>
      <c r="H15" s="4">
        <f>AVERAGE(G15:$G$82)</f>
        <v>1.2808851896581885</v>
      </c>
    </row>
    <row r="16" spans="1:16">
      <c r="A16">
        <v>14</v>
      </c>
      <c r="B16">
        <v>-1.2</v>
      </c>
      <c r="C16">
        <v>1.3</v>
      </c>
      <c r="D16" s="2">
        <f t="shared" si="1"/>
        <v>2.5</v>
      </c>
      <c r="E16">
        <f t="shared" si="0"/>
        <v>7.1155211919273347</v>
      </c>
      <c r="F16" s="2">
        <f t="shared" si="2"/>
        <v>4.6155211919273347</v>
      </c>
      <c r="G16" s="3">
        <f t="shared" si="3"/>
        <v>1.8462084767709339</v>
      </c>
      <c r="H16" s="4">
        <f>AVERAGE(G16:$G$82)</f>
        <v>1.2713870586994827</v>
      </c>
    </row>
    <row r="17" spans="1:8">
      <c r="A17">
        <v>15</v>
      </c>
      <c r="B17">
        <v>-1.2</v>
      </c>
      <c r="C17">
        <v>0.9</v>
      </c>
      <c r="D17" s="2">
        <f t="shared" si="1"/>
        <v>2.1</v>
      </c>
      <c r="E17">
        <f t="shared" si="0"/>
        <v>5.8630087946178584</v>
      </c>
      <c r="F17" s="2">
        <f t="shared" si="2"/>
        <v>3.7630087946178583</v>
      </c>
      <c r="G17" s="3">
        <f t="shared" si="3"/>
        <v>1.7919089498180276</v>
      </c>
      <c r="H17" s="4">
        <f>AVERAGE(G17:$G$82)</f>
        <v>1.2626776432741575</v>
      </c>
    </row>
    <row r="18" spans="1:8">
      <c r="A18">
        <v>16</v>
      </c>
      <c r="B18">
        <v>-1.1000000000000001</v>
      </c>
      <c r="C18">
        <v>0.7</v>
      </c>
      <c r="D18" s="2">
        <f t="shared" si="1"/>
        <v>1.8</v>
      </c>
      <c r="E18">
        <f t="shared" si="0"/>
        <v>4.8880285004589341</v>
      </c>
      <c r="F18" s="2">
        <f t="shared" si="2"/>
        <v>3.0880285004589343</v>
      </c>
      <c r="G18" s="3">
        <f t="shared" si="3"/>
        <v>1.7155713891438524</v>
      </c>
      <c r="H18" s="4">
        <f>AVERAGE(G18:$G$82)</f>
        <v>1.2545356231734828</v>
      </c>
    </row>
    <row r="19" spans="1:8">
      <c r="A19">
        <v>17</v>
      </c>
      <c r="B19">
        <v>-1.1000000000000001</v>
      </c>
      <c r="C19">
        <v>0.627</v>
      </c>
      <c r="D19" s="2">
        <f t="shared" si="1"/>
        <v>1.7270000000000001</v>
      </c>
      <c r="E19">
        <f t="shared" si="0"/>
        <v>4.1177784675505409</v>
      </c>
      <c r="F19" s="2">
        <f t="shared" si="2"/>
        <v>2.3907784675505406</v>
      </c>
      <c r="G19" s="3">
        <f t="shared" si="3"/>
        <v>1.3843534843952174</v>
      </c>
      <c r="H19" s="4">
        <f>AVERAGE(G19:$G$82)</f>
        <v>1.2473319393301958</v>
      </c>
    </row>
    <row r="20" spans="1:8">
      <c r="A20">
        <v>18</v>
      </c>
      <c r="B20">
        <v>-1.1000000000000001</v>
      </c>
      <c r="C20">
        <v>0.37</v>
      </c>
      <c r="D20" s="2">
        <f t="shared" si="1"/>
        <v>1.4700000000000002</v>
      </c>
      <c r="E20">
        <f t="shared" si="0"/>
        <v>3.5012223389349399</v>
      </c>
      <c r="F20" s="2">
        <f t="shared" si="2"/>
        <v>2.0312223389349398</v>
      </c>
      <c r="G20" s="3">
        <f t="shared" si="3"/>
        <v>1.3817839040373738</v>
      </c>
      <c r="H20" s="4">
        <f>AVERAGE(G20:$G$82)</f>
        <v>1.2451569941704335</v>
      </c>
    </row>
    <row r="21" spans="1:8">
      <c r="A21">
        <v>19</v>
      </c>
      <c r="B21">
        <v>-1.1000000000000001</v>
      </c>
      <c r="C21">
        <v>0.23</v>
      </c>
      <c r="D21" s="2">
        <f t="shared" si="1"/>
        <v>1.33</v>
      </c>
      <c r="E21">
        <f t="shared" si="0"/>
        <v>3.0018605028443437</v>
      </c>
      <c r="F21" s="2">
        <f t="shared" si="2"/>
        <v>1.6718605028443436</v>
      </c>
      <c r="G21" s="3">
        <f t="shared" si="3"/>
        <v>1.2570379720634162</v>
      </c>
      <c r="H21" s="4">
        <f>AVERAGE(G21:$G$82)</f>
        <v>1.2429533343338699</v>
      </c>
    </row>
    <row r="22" spans="1:8">
      <c r="A22">
        <v>20</v>
      </c>
      <c r="B22">
        <v>-1</v>
      </c>
      <c r="C22">
        <v>0.1</v>
      </c>
      <c r="D22" s="2">
        <f t="shared" si="1"/>
        <v>1.1000000000000001</v>
      </c>
      <c r="E22">
        <f t="shared" si="0"/>
        <v>2.5931199679035477</v>
      </c>
      <c r="F22" s="2">
        <f t="shared" si="2"/>
        <v>1.4931199679035476</v>
      </c>
      <c r="G22" s="3">
        <f t="shared" si="3"/>
        <v>1.3573817890032249</v>
      </c>
      <c r="H22" s="4">
        <f>AVERAGE(G22:$G$82)</f>
        <v>1.2427224386333855</v>
      </c>
    </row>
    <row r="23" spans="1:8">
      <c r="A23">
        <v>21</v>
      </c>
      <c r="B23">
        <v>-0.98</v>
      </c>
      <c r="C23">
        <v>-0.03</v>
      </c>
      <c r="D23" s="2">
        <f t="shared" si="1"/>
        <v>0.95</v>
      </c>
      <c r="E23">
        <f t="shared" si="0"/>
        <v>2.2553422260288083</v>
      </c>
      <c r="F23" s="2">
        <f t="shared" si="2"/>
        <v>1.3053422260288083</v>
      </c>
      <c r="G23" s="3">
        <f t="shared" si="3"/>
        <v>1.3740444484513772</v>
      </c>
      <c r="H23" s="4">
        <f>AVERAGE(G23:$G$82)</f>
        <v>1.2408114494605549</v>
      </c>
    </row>
    <row r="24" spans="1:8">
      <c r="A24">
        <v>22</v>
      </c>
      <c r="B24">
        <v>-0.98</v>
      </c>
      <c r="C24">
        <v>-0.11</v>
      </c>
      <c r="D24" s="2">
        <f t="shared" si="1"/>
        <v>0.87</v>
      </c>
      <c r="E24">
        <f t="shared" si="0"/>
        <v>1.9737720081166066</v>
      </c>
      <c r="F24" s="2">
        <f t="shared" si="2"/>
        <v>1.1037720081166067</v>
      </c>
      <c r="G24" s="3">
        <f t="shared" si="3"/>
        <v>1.2687034576052951</v>
      </c>
      <c r="H24" s="4">
        <f>AVERAGE(G24:$G$82)</f>
        <v>1.2385532630369818</v>
      </c>
    </row>
    <row r="25" spans="1:8">
      <c r="A25">
        <v>23</v>
      </c>
      <c r="B25">
        <v>-0.95</v>
      </c>
      <c r="C25">
        <v>-0.17</v>
      </c>
      <c r="D25" s="2">
        <f t="shared" si="1"/>
        <v>0.77999999999999992</v>
      </c>
      <c r="E25">
        <f t="shared" si="0"/>
        <v>1.7371877909978843</v>
      </c>
      <c r="F25" s="2">
        <f t="shared" si="2"/>
        <v>0.95718779099788442</v>
      </c>
      <c r="G25" s="3">
        <f t="shared" si="3"/>
        <v>1.2271638346126725</v>
      </c>
      <c r="H25" s="4">
        <f>AVERAGE(G25:$G$82)</f>
        <v>1.2380334320961486</v>
      </c>
    </row>
    <row r="26" spans="1:8">
      <c r="A26">
        <v>24</v>
      </c>
      <c r="B26">
        <v>-0.93</v>
      </c>
      <c r="C26">
        <v>-0.24</v>
      </c>
      <c r="D26" s="2">
        <f t="shared" si="1"/>
        <v>0.69000000000000006</v>
      </c>
      <c r="E26">
        <f t="shared" si="0"/>
        <v>1.5369525774563042</v>
      </c>
      <c r="F26" s="2">
        <f t="shared" si="2"/>
        <v>0.84695257745630415</v>
      </c>
      <c r="G26" s="3">
        <f t="shared" si="3"/>
        <v>1.227467503559861</v>
      </c>
      <c r="H26" s="4">
        <f>AVERAGE(G26:$G$82)</f>
        <v>1.238224126788841</v>
      </c>
    </row>
    <row r="27" spans="1:8">
      <c r="A27">
        <v>25</v>
      </c>
      <c r="B27">
        <v>-0.92</v>
      </c>
      <c r="C27">
        <v>-0.3</v>
      </c>
      <c r="D27" s="2">
        <f t="shared" si="1"/>
        <v>0.62000000000000011</v>
      </c>
      <c r="E27">
        <f t="shared" si="0"/>
        <v>1.3663452448085316</v>
      </c>
      <c r="F27" s="2">
        <f t="shared" si="2"/>
        <v>0.74634524480853148</v>
      </c>
      <c r="G27" s="3">
        <f t="shared" si="3"/>
        <v>1.2037826529169862</v>
      </c>
      <c r="H27" s="4">
        <f>AVERAGE(G27:$G$82)</f>
        <v>1.2384162093465014</v>
      </c>
    </row>
    <row r="28" spans="1:8">
      <c r="A28">
        <v>26</v>
      </c>
      <c r="B28">
        <v>-0.9</v>
      </c>
      <c r="C28">
        <v>-0.32</v>
      </c>
      <c r="D28" s="2">
        <f t="shared" si="1"/>
        <v>0.58000000000000007</v>
      </c>
      <c r="E28">
        <f t="shared" si="0"/>
        <v>1.2200825089038638</v>
      </c>
      <c r="F28" s="2">
        <f t="shared" si="2"/>
        <v>0.64008250890386376</v>
      </c>
      <c r="G28" s="3">
        <f t="shared" si="3"/>
        <v>1.1035905325928683</v>
      </c>
      <c r="H28" s="4">
        <f>AVERAGE(G28:$G$82)</f>
        <v>1.2390459103724927</v>
      </c>
    </row>
    <row r="29" spans="1:8">
      <c r="A29">
        <v>27</v>
      </c>
      <c r="B29">
        <v>-0.85</v>
      </c>
      <c r="C29">
        <v>-0.34</v>
      </c>
      <c r="D29" s="2">
        <f t="shared" si="1"/>
        <v>0.51</v>
      </c>
      <c r="E29">
        <f t="shared" si="0"/>
        <v>1.0939724864593088</v>
      </c>
      <c r="F29" s="2">
        <f t="shared" si="2"/>
        <v>0.58397248645930877</v>
      </c>
      <c r="G29" s="3">
        <f t="shared" si="3"/>
        <v>1.1450440910966839</v>
      </c>
      <c r="H29" s="4">
        <f>AVERAGE(G29:$G$82)</f>
        <v>1.2415543432943374</v>
      </c>
    </row>
    <row r="30" spans="1:8">
      <c r="A30">
        <v>28</v>
      </c>
      <c r="B30">
        <v>-0.83</v>
      </c>
      <c r="C30">
        <v>-0.34</v>
      </c>
      <c r="D30" s="2">
        <f t="shared" si="1"/>
        <v>0.48999999999999994</v>
      </c>
      <c r="E30">
        <f t="shared" si="0"/>
        <v>0.9846604626165385</v>
      </c>
      <c r="F30" s="2">
        <f t="shared" si="2"/>
        <v>0.49466046261653857</v>
      </c>
      <c r="G30" s="3">
        <f t="shared" si="3"/>
        <v>1.0095111481970176</v>
      </c>
      <c r="H30" s="4">
        <f>AVERAGE(G30:$G$82)</f>
        <v>1.2433752914490102</v>
      </c>
    </row>
    <row r="31" spans="1:8">
      <c r="A31">
        <v>29</v>
      </c>
      <c r="B31">
        <v>-0.81</v>
      </c>
      <c r="C31">
        <v>-0.36</v>
      </c>
      <c r="D31" s="2">
        <f t="shared" si="1"/>
        <v>0.45000000000000007</v>
      </c>
      <c r="E31">
        <f t="shared" si="0"/>
        <v>0.88944014899091683</v>
      </c>
      <c r="F31" s="2">
        <f t="shared" si="2"/>
        <v>0.43944014899091677</v>
      </c>
      <c r="G31" s="3">
        <f t="shared" si="3"/>
        <v>0.97653366442425937</v>
      </c>
      <c r="H31" s="4">
        <f>AVERAGE(G31:$G$82)</f>
        <v>1.2478726788192407</v>
      </c>
    </row>
    <row r="32" spans="1:8">
      <c r="A32">
        <v>30</v>
      </c>
      <c r="B32">
        <v>-0.77</v>
      </c>
      <c r="C32">
        <v>-0.38</v>
      </c>
      <c r="D32" s="2">
        <f t="shared" si="1"/>
        <v>0.39</v>
      </c>
      <c r="E32">
        <f t="shared" si="0"/>
        <v>0.80611204802640901</v>
      </c>
      <c r="F32" s="2">
        <f t="shared" si="2"/>
        <v>0.416112048026409</v>
      </c>
      <c r="G32" s="3">
        <f t="shared" si="3"/>
        <v>1.0669539692984846</v>
      </c>
      <c r="H32" s="4">
        <f>AVERAGE(G32:$G$82)</f>
        <v>1.2531930516505152</v>
      </c>
    </row>
    <row r="33" spans="1:8">
      <c r="A33">
        <v>31</v>
      </c>
      <c r="B33">
        <v>-0.74</v>
      </c>
      <c r="C33">
        <v>-0.37</v>
      </c>
      <c r="D33" s="2">
        <f t="shared" si="1"/>
        <v>0.37</v>
      </c>
      <c r="E33">
        <f t="shared" si="0"/>
        <v>0.7328760993272323</v>
      </c>
      <c r="F33" s="2">
        <f t="shared" si="2"/>
        <v>0.3628760993272323</v>
      </c>
      <c r="G33" s="3">
        <f t="shared" si="3"/>
        <v>0.9807462143979252</v>
      </c>
      <c r="H33" s="4">
        <f>AVERAGE(G33:$G$82)</f>
        <v>1.2569178332975555</v>
      </c>
    </row>
    <row r="34" spans="1:8">
      <c r="A34">
        <v>32</v>
      </c>
      <c r="B34">
        <v>-0.71</v>
      </c>
      <c r="C34">
        <v>-0.39</v>
      </c>
      <c r="D34" s="2">
        <f t="shared" si="1"/>
        <v>0.31999999999999995</v>
      </c>
      <c r="E34">
        <f t="shared" ref="E34:E65" si="4">1000000*$N$11*$N$10/(4*PI()*((A34+1)/100)^3)</f>
        <v>0.66824954845298024</v>
      </c>
      <c r="F34" s="2">
        <f t="shared" si="2"/>
        <v>0.34824954845298028</v>
      </c>
      <c r="G34" s="3">
        <f t="shared" si="3"/>
        <v>1.0882798389155635</v>
      </c>
      <c r="H34" s="4">
        <f>AVERAGE(G34:$G$82)</f>
        <v>1.262553988785303</v>
      </c>
    </row>
    <row r="35" spans="1:8">
      <c r="A35">
        <v>33</v>
      </c>
      <c r="B35">
        <v>-0.69</v>
      </c>
      <c r="C35">
        <v>-0.38</v>
      </c>
      <c r="D35" s="2">
        <f t="shared" si="1"/>
        <v>0.30999999999999994</v>
      </c>
      <c r="E35">
        <f t="shared" si="4"/>
        <v>0.61100356255736676</v>
      </c>
      <c r="F35" s="2">
        <f t="shared" si="2"/>
        <v>0.30100356255736682</v>
      </c>
      <c r="G35" s="3">
        <f t="shared" si="3"/>
        <v>0.97097923405602216</v>
      </c>
      <c r="H35" s="4">
        <f>AVERAGE(G35:$G$82)</f>
        <v>1.2661847002409228</v>
      </c>
    </row>
    <row r="36" spans="1:8">
      <c r="A36">
        <v>34</v>
      </c>
      <c r="B36">
        <v>-0.65</v>
      </c>
      <c r="C36">
        <v>-0.36</v>
      </c>
      <c r="D36" s="2">
        <f t="shared" si="1"/>
        <v>0.29000000000000004</v>
      </c>
      <c r="E36">
        <f t="shared" si="4"/>
        <v>0.56011391306716629</v>
      </c>
      <c r="F36" s="2">
        <f t="shared" si="2"/>
        <v>0.27011391306716626</v>
      </c>
      <c r="G36" s="3">
        <f t="shared" si="3"/>
        <v>0.93142728643850425</v>
      </c>
      <c r="H36" s="4">
        <f>AVERAGE(G36:$G$82)</f>
        <v>1.2724656676065589</v>
      </c>
    </row>
    <row r="37" spans="1:8">
      <c r="A37">
        <v>35</v>
      </c>
      <c r="B37">
        <v>-0.6</v>
      </c>
      <c r="C37">
        <v>-0.34</v>
      </c>
      <c r="D37" s="2">
        <f t="shared" si="1"/>
        <v>0.25999999999999995</v>
      </c>
      <c r="E37">
        <f t="shared" si="4"/>
        <v>0.51472230844381761</v>
      </c>
      <c r="F37" s="2">
        <f t="shared" si="2"/>
        <v>0.25472230844381766</v>
      </c>
      <c r="G37" s="3">
        <f t="shared" si="3"/>
        <v>0.97970118632237579</v>
      </c>
      <c r="H37" s="4">
        <f>AVERAGE(G37:$G$82)</f>
        <v>1.2798795454580383</v>
      </c>
    </row>
    <row r="38" spans="1:8">
      <c r="A38">
        <v>36</v>
      </c>
      <c r="B38">
        <v>-0.56000000000000005</v>
      </c>
      <c r="C38">
        <v>-0.32</v>
      </c>
      <c r="D38" s="2">
        <f t="shared" si="1"/>
        <v>0.24000000000000005</v>
      </c>
      <c r="E38">
        <f t="shared" si="4"/>
        <v>0.47410585795026461</v>
      </c>
      <c r="F38" s="2">
        <f t="shared" si="2"/>
        <v>0.23410585795026456</v>
      </c>
      <c r="G38" s="3">
        <f t="shared" si="3"/>
        <v>0.97544107479276887</v>
      </c>
      <c r="H38" s="4">
        <f>AVERAGE(G38:$G$82)</f>
        <v>1.2865501756610531</v>
      </c>
    </row>
    <row r="39" spans="1:8">
      <c r="A39">
        <v>37</v>
      </c>
      <c r="B39">
        <v>-0.52</v>
      </c>
      <c r="C39">
        <v>-0.31</v>
      </c>
      <c r="D39" s="2">
        <f t="shared" si="1"/>
        <v>0.21000000000000002</v>
      </c>
      <c r="E39">
        <f t="shared" si="4"/>
        <v>0.43765279236686749</v>
      </c>
      <c r="F39" s="2">
        <f t="shared" si="2"/>
        <v>0.22765279236686747</v>
      </c>
      <c r="G39" s="3">
        <f t="shared" si="3"/>
        <v>1.0840609160327022</v>
      </c>
      <c r="H39" s="4">
        <f>AVERAGE(G39:$G$82)</f>
        <v>1.2936208370444231</v>
      </c>
    </row>
    <row r="40" spans="1:8">
      <c r="A40">
        <v>38</v>
      </c>
      <c r="B40">
        <v>-0.5</v>
      </c>
      <c r="C40">
        <v>-0.28999999999999998</v>
      </c>
      <c r="D40" s="2">
        <f t="shared" si="1"/>
        <v>0.21000000000000002</v>
      </c>
      <c r="E40">
        <f t="shared" si="4"/>
        <v>0.40484303549882417</v>
      </c>
      <c r="F40" s="2">
        <f t="shared" si="2"/>
        <v>0.19484303549882415</v>
      </c>
      <c r="G40" s="3">
        <f t="shared" si="3"/>
        <v>0.92782397856582921</v>
      </c>
      <c r="H40" s="4">
        <f>AVERAGE(G40:$G$82)</f>
        <v>1.2984943235795796</v>
      </c>
    </row>
    <row r="41" spans="1:8">
      <c r="A41">
        <v>39</v>
      </c>
      <c r="B41">
        <v>-0.46</v>
      </c>
      <c r="C41">
        <v>-0.24</v>
      </c>
      <c r="D41" s="2">
        <f t="shared" si="1"/>
        <v>0.22000000000000003</v>
      </c>
      <c r="E41">
        <f t="shared" si="4"/>
        <v>0.37523256285554296</v>
      </c>
      <c r="F41" s="2">
        <f t="shared" si="2"/>
        <v>0.15523256285554293</v>
      </c>
      <c r="G41" s="3">
        <f t="shared" si="3"/>
        <v>0.70560255843428599</v>
      </c>
      <c r="H41" s="4">
        <f>AVERAGE(G41:$G$82)</f>
        <v>1.3073198079846688</v>
      </c>
    </row>
    <row r="42" spans="1:8">
      <c r="A42">
        <v>40</v>
      </c>
      <c r="B42">
        <v>-0.42</v>
      </c>
      <c r="C42">
        <v>-0.23</v>
      </c>
      <c r="D42" s="2">
        <f t="shared" si="1"/>
        <v>0.18999999999999997</v>
      </c>
      <c r="E42">
        <f t="shared" si="4"/>
        <v>0.34844073682556492</v>
      </c>
      <c r="F42" s="2">
        <f t="shared" si="2"/>
        <v>0.15844073682556495</v>
      </c>
      <c r="G42" s="3">
        <f t="shared" si="3"/>
        <v>0.83389861487139461</v>
      </c>
      <c r="H42" s="4">
        <f>AVERAGE(G42:$G$82)</f>
        <v>1.3219958384615076</v>
      </c>
    </row>
    <row r="43" spans="1:8">
      <c r="A43">
        <v>41</v>
      </c>
      <c r="B43">
        <v>-0.38</v>
      </c>
      <c r="C43">
        <v>-0.21</v>
      </c>
      <c r="D43" s="2">
        <f t="shared" si="1"/>
        <v>0.17</v>
      </c>
      <c r="E43">
        <f t="shared" si="4"/>
        <v>0.32413999598794346</v>
      </c>
      <c r="F43" s="2">
        <f t="shared" si="2"/>
        <v>0.15413999598794345</v>
      </c>
      <c r="G43" s="3">
        <f t="shared" si="3"/>
        <v>0.90670585875260845</v>
      </c>
      <c r="H43" s="4">
        <f>AVERAGE(G43:$G$82)</f>
        <v>1.3341982690512604</v>
      </c>
    </row>
    <row r="44" spans="1:8">
      <c r="A44">
        <v>42</v>
      </c>
      <c r="B44">
        <v>-0.35</v>
      </c>
      <c r="C44">
        <v>-0.19</v>
      </c>
      <c r="D44" s="2">
        <f t="shared" si="1"/>
        <v>0.15999999999999998</v>
      </c>
      <c r="E44">
        <f t="shared" si="4"/>
        <v>0.30204741749474578</v>
      </c>
      <c r="F44" s="2">
        <f t="shared" si="2"/>
        <v>0.14204741749474581</v>
      </c>
      <c r="G44" s="3">
        <f t="shared" si="3"/>
        <v>0.88779635934216139</v>
      </c>
      <c r="H44" s="4">
        <f>AVERAGE(G44:$G$82)</f>
        <v>1.3451596129050718</v>
      </c>
    </row>
    <row r="45" spans="1:8">
      <c r="A45">
        <v>43</v>
      </c>
      <c r="B45">
        <v>-0.32</v>
      </c>
      <c r="C45">
        <v>-0.17</v>
      </c>
      <c r="D45" s="2">
        <f t="shared" si="1"/>
        <v>0.15</v>
      </c>
      <c r="E45">
        <f t="shared" si="4"/>
        <v>0.28191777825360104</v>
      </c>
      <c r="F45" s="2">
        <f t="shared" si="2"/>
        <v>0.13191777825360104</v>
      </c>
      <c r="G45" s="3">
        <f t="shared" si="3"/>
        <v>0.87945185502400702</v>
      </c>
      <c r="H45" s="4">
        <f>AVERAGE(G45:$G$82)</f>
        <v>1.3571954879988326</v>
      </c>
    </row>
    <row r="46" spans="1:8">
      <c r="A46">
        <v>44</v>
      </c>
      <c r="B46">
        <v>-0.28999999999999998</v>
      </c>
      <c r="C46">
        <v>-0.15</v>
      </c>
      <c r="D46" s="2">
        <f t="shared" si="1"/>
        <v>0.13999999999999999</v>
      </c>
      <c r="E46">
        <f t="shared" si="4"/>
        <v>0.26353782192323461</v>
      </c>
      <c r="F46" s="2">
        <f t="shared" si="2"/>
        <v>0.12353782192323462</v>
      </c>
      <c r="G46" s="3">
        <f t="shared" si="3"/>
        <v>0.88241301373739023</v>
      </c>
      <c r="H46" s="4">
        <f>AVERAGE(G46:$G$82)</f>
        <v>1.3701074780792333</v>
      </c>
    </row>
    <row r="47" spans="1:8">
      <c r="A47">
        <v>45</v>
      </c>
      <c r="B47">
        <v>-0.27</v>
      </c>
      <c r="C47">
        <v>-0.14000000000000001</v>
      </c>
      <c r="D47" s="2">
        <f t="shared" si="1"/>
        <v>0.13</v>
      </c>
      <c r="E47">
        <f t="shared" si="4"/>
        <v>0.24672150101457582</v>
      </c>
      <c r="F47" s="2">
        <f t="shared" si="2"/>
        <v>0.11672150101457582</v>
      </c>
      <c r="G47" s="3">
        <f t="shared" si="3"/>
        <v>0.89785770011212163</v>
      </c>
      <c r="H47" s="4">
        <f>AVERAGE(G47:$G$82)</f>
        <v>1.3836545465331733</v>
      </c>
    </row>
    <row r="48" spans="1:8">
      <c r="A48">
        <v>46</v>
      </c>
      <c r="B48">
        <v>-0.23</v>
      </c>
      <c r="C48">
        <v>-0.12</v>
      </c>
      <c r="D48" s="2">
        <f t="shared" si="1"/>
        <v>0.11000000000000001</v>
      </c>
      <c r="E48">
        <f t="shared" si="4"/>
        <v>0.23130601141129381</v>
      </c>
      <c r="F48" s="2">
        <f t="shared" si="2"/>
        <v>0.1213060114112938</v>
      </c>
      <c r="G48" s="3">
        <f t="shared" si="3"/>
        <v>1.1027819219208526</v>
      </c>
      <c r="H48" s="4">
        <f>AVERAGE(G48:$G$82)</f>
        <v>1.3975344564309176</v>
      </c>
    </row>
    <row r="49" spans="1:8">
      <c r="A49">
        <v>47</v>
      </c>
      <c r="B49">
        <v>-0.2</v>
      </c>
      <c r="C49">
        <v>-8.1000000000000003E-2</v>
      </c>
      <c r="D49" s="2">
        <f t="shared" si="1"/>
        <v>0.11900000000000001</v>
      </c>
      <c r="E49">
        <f t="shared" si="4"/>
        <v>0.21714847387473554</v>
      </c>
      <c r="F49" s="2">
        <f t="shared" si="2"/>
        <v>9.8148473874735534E-2</v>
      </c>
      <c r="G49" s="3">
        <f t="shared" si="3"/>
        <v>0.82477709138433219</v>
      </c>
      <c r="H49" s="4">
        <f>AVERAGE(G49:$G$82)</f>
        <v>1.4062036486223903</v>
      </c>
    </row>
    <row r="50" spans="1:8">
      <c r="A50">
        <v>48</v>
      </c>
      <c r="B50">
        <v>-0.18</v>
      </c>
      <c r="C50">
        <v>-4.5999999999999999E-2</v>
      </c>
      <c r="D50" s="2">
        <f t="shared" si="1"/>
        <v>0.13400000000000001</v>
      </c>
      <c r="E50">
        <f t="shared" si="4"/>
        <v>0.20412314616150376</v>
      </c>
      <c r="F50" s="2">
        <f t="shared" si="2"/>
        <v>7.0123146161503752E-2</v>
      </c>
      <c r="G50" s="3">
        <f t="shared" si="3"/>
        <v>0.52330706090674439</v>
      </c>
      <c r="H50" s="4">
        <f>AVERAGE(G50:$G$82)</f>
        <v>1.4238226352053618</v>
      </c>
    </row>
    <row r="51" spans="1:8">
      <c r="A51">
        <v>49</v>
      </c>
      <c r="B51">
        <v>-0.14000000000000001</v>
      </c>
      <c r="C51">
        <v>-4.5999999999999999E-2</v>
      </c>
      <c r="D51" s="2">
        <f t="shared" si="1"/>
        <v>9.4000000000000014E-2</v>
      </c>
      <c r="E51">
        <f t="shared" si="4"/>
        <v>0.19211907218203803</v>
      </c>
      <c r="F51" s="2">
        <f t="shared" si="2"/>
        <v>9.8119072182038011E-2</v>
      </c>
      <c r="G51" s="3">
        <f t="shared" si="3"/>
        <v>1.0438199168301914</v>
      </c>
      <c r="H51" s="4">
        <f>AVERAGE(G51:$G$82)</f>
        <v>1.4519637469021935</v>
      </c>
    </row>
    <row r="52" spans="1:8">
      <c r="A52">
        <v>50</v>
      </c>
      <c r="B52">
        <v>-0.12</v>
      </c>
      <c r="C52">
        <v>-1.4999999999999999E-2</v>
      </c>
      <c r="D52" s="2">
        <f t="shared" si="1"/>
        <v>0.105</v>
      </c>
      <c r="E52">
        <f t="shared" si="4"/>
        <v>0.18103809260959025</v>
      </c>
      <c r="F52" s="2">
        <f t="shared" si="2"/>
        <v>7.6038092609590255E-2</v>
      </c>
      <c r="G52" s="3">
        <f t="shared" si="3"/>
        <v>0.72417231056752629</v>
      </c>
      <c r="H52" s="4">
        <f>AVERAGE(G52:$G$82)</f>
        <v>1.4651296769045161</v>
      </c>
    </row>
    <row r="53" spans="1:8">
      <c r="A53">
        <v>51</v>
      </c>
      <c r="B53">
        <v>-9.2999999999999999E-2</v>
      </c>
      <c r="C53">
        <v>1E-3</v>
      </c>
      <c r="D53" s="2">
        <f t="shared" si="1"/>
        <v>9.4E-2</v>
      </c>
      <c r="E53">
        <f t="shared" si="4"/>
        <v>0.17079315560106645</v>
      </c>
      <c r="F53" s="2">
        <f t="shared" si="2"/>
        <v>7.6793155601066448E-2</v>
      </c>
      <c r="G53" s="3">
        <f t="shared" si="3"/>
        <v>0.8169484638411324</v>
      </c>
      <c r="H53" s="4">
        <f>AVERAGE(G53:$G$82)</f>
        <v>1.4898282557824158</v>
      </c>
    </row>
    <row r="54" spans="1:8">
      <c r="A54">
        <v>52</v>
      </c>
      <c r="B54">
        <v>-5.3999999999999999E-2</v>
      </c>
      <c r="C54">
        <v>2.3E-2</v>
      </c>
      <c r="D54" s="2">
        <f t="shared" si="1"/>
        <v>7.6999999999999999E-2</v>
      </c>
      <c r="E54">
        <f t="shared" si="4"/>
        <v>0.16130687764231375</v>
      </c>
      <c r="F54" s="2">
        <f t="shared" si="2"/>
        <v>8.4306877642313746E-2</v>
      </c>
      <c r="G54" s="3">
        <f t="shared" si="3"/>
        <v>1.0948945148352434</v>
      </c>
      <c r="H54" s="4">
        <f>AVERAGE(G54:$G$82)</f>
        <v>1.513031007228667</v>
      </c>
    </row>
    <row r="55" spans="1:8">
      <c r="A55">
        <v>53</v>
      </c>
      <c r="B55">
        <v>-3.5999999999999997E-2</v>
      </c>
      <c r="C55">
        <v>0.04</v>
      </c>
      <c r="D55" s="2">
        <f t="shared" si="1"/>
        <v>7.5999999999999998E-2</v>
      </c>
      <c r="E55">
        <f t="shared" si="4"/>
        <v>0.15251031361298298</v>
      </c>
      <c r="F55" s="2">
        <f t="shared" si="2"/>
        <v>7.651031361298298E-2</v>
      </c>
      <c r="G55" s="3">
        <f t="shared" si="3"/>
        <v>1.0067146528024076</v>
      </c>
      <c r="H55" s="4">
        <f>AVERAGE(G55:$G$82)</f>
        <v>1.5279644533855752</v>
      </c>
    </row>
    <row r="56" spans="1:8">
      <c r="A56">
        <v>54</v>
      </c>
      <c r="B56">
        <v>-0.02</v>
      </c>
      <c r="C56">
        <v>0.06</v>
      </c>
      <c r="D56" s="2">
        <f t="shared" si="1"/>
        <v>0.08</v>
      </c>
      <c r="E56">
        <f t="shared" si="4"/>
        <v>0.14434190246584372</v>
      </c>
      <c r="F56" s="2">
        <f t="shared" si="2"/>
        <v>6.4341902465843717E-2</v>
      </c>
      <c r="G56" s="3">
        <f t="shared" si="3"/>
        <v>0.80427378082304646</v>
      </c>
      <c r="H56" s="4">
        <f>AVERAGE(G56:$G$82)</f>
        <v>1.547270001555322</v>
      </c>
    </row>
    <row r="57" spans="1:8">
      <c r="A57">
        <v>55</v>
      </c>
      <c r="B57">
        <v>0</v>
      </c>
      <c r="C57">
        <v>7.6999999999999999E-2</v>
      </c>
      <c r="D57" s="2">
        <f t="shared" si="1"/>
        <v>7.6999999999999999E-2</v>
      </c>
      <c r="E57">
        <f t="shared" si="4"/>
        <v>0.1367465608074136</v>
      </c>
      <c r="F57" s="2">
        <f t="shared" si="2"/>
        <v>5.9746560807413598E-2</v>
      </c>
      <c r="G57" s="3">
        <f t="shared" si="3"/>
        <v>0.77592936113524158</v>
      </c>
      <c r="H57" s="4">
        <f>AVERAGE(G57:$G$82)</f>
        <v>1.575846779275794</v>
      </c>
    </row>
    <row r="58" spans="1:8">
      <c r="A58">
        <v>56</v>
      </c>
      <c r="B58">
        <v>0.02</v>
      </c>
      <c r="C58">
        <v>0.08</v>
      </c>
      <c r="D58" s="2">
        <f t="shared" si="1"/>
        <v>0.06</v>
      </c>
      <c r="E58">
        <f t="shared" si="4"/>
        <v>0.12967490144203483</v>
      </c>
      <c r="F58" s="2">
        <f t="shared" si="2"/>
        <v>6.9674901442034837E-2</v>
      </c>
      <c r="G58" s="3">
        <f t="shared" si="3"/>
        <v>1.1612483573672474</v>
      </c>
      <c r="H58" s="4">
        <f>AVERAGE(G58:$G$82)</f>
        <v>1.6078434760014162</v>
      </c>
    </row>
    <row r="59" spans="1:8">
      <c r="A59">
        <v>57</v>
      </c>
      <c r="B59">
        <v>0.03</v>
      </c>
      <c r="C59">
        <v>9.7000000000000003E-2</v>
      </c>
      <c r="D59" s="2">
        <f t="shared" si="1"/>
        <v>6.7000000000000004E-2</v>
      </c>
      <c r="E59">
        <f t="shared" si="4"/>
        <v>0.12308255782706731</v>
      </c>
      <c r="F59" s="2">
        <f t="shared" si="2"/>
        <v>5.6082557827067309E-2</v>
      </c>
      <c r="G59" s="3">
        <f t="shared" si="3"/>
        <v>0.83705310189652693</v>
      </c>
      <c r="H59" s="4">
        <f>AVERAGE(G59:$G$82)</f>
        <v>1.6264516059445064</v>
      </c>
    </row>
    <row r="60" spans="1:8">
      <c r="A60">
        <v>58</v>
      </c>
      <c r="B60">
        <v>0.05</v>
      </c>
      <c r="C60">
        <v>0.11</v>
      </c>
      <c r="D60" s="2">
        <f t="shared" si="1"/>
        <v>0.06</v>
      </c>
      <c r="E60">
        <f t="shared" si="4"/>
        <v>0.11692959856048941</v>
      </c>
      <c r="F60" s="2">
        <f t="shared" si="2"/>
        <v>5.6929598560489417E-2</v>
      </c>
      <c r="G60" s="3">
        <f t="shared" si="3"/>
        <v>0.94882664267482364</v>
      </c>
      <c r="H60" s="4">
        <f>AVERAGE(G60:$G$82)</f>
        <v>1.6607732800335488</v>
      </c>
    </row>
    <row r="61" spans="1:8">
      <c r="A61">
        <v>59</v>
      </c>
      <c r="B61">
        <v>0.06</v>
      </c>
      <c r="C61">
        <v>0.12</v>
      </c>
      <c r="D61" s="2">
        <f t="shared" si="1"/>
        <v>0.06</v>
      </c>
      <c r="E61">
        <f t="shared" si="4"/>
        <v>0.1111800186238646</v>
      </c>
      <c r="F61" s="2">
        <f t="shared" si="2"/>
        <v>5.1180018623864607E-2</v>
      </c>
      <c r="G61" s="3">
        <f t="shared" si="3"/>
        <v>0.85300031039774349</v>
      </c>
      <c r="H61" s="4">
        <f>AVERAGE(G61:$G$82)</f>
        <v>1.6931344908225818</v>
      </c>
    </row>
    <row r="62" spans="1:8">
      <c r="A62">
        <v>60</v>
      </c>
      <c r="B62">
        <v>7.1999999999999995E-2</v>
      </c>
      <c r="C62">
        <v>0.12</v>
      </c>
      <c r="D62" s="2">
        <f t="shared" si="1"/>
        <v>4.8000000000000001E-2</v>
      </c>
      <c r="E62">
        <f t="shared" si="4"/>
        <v>0.10580129624397969</v>
      </c>
      <c r="F62" s="2">
        <f t="shared" si="2"/>
        <v>5.7801296243979686E-2</v>
      </c>
      <c r="G62" s="3">
        <f t="shared" si="3"/>
        <v>1.2041936717495767</v>
      </c>
      <c r="H62" s="4">
        <f>AVERAGE(G62:$G$82)</f>
        <v>1.7331408803666219</v>
      </c>
    </row>
    <row r="63" spans="1:8">
      <c r="A63">
        <v>61</v>
      </c>
      <c r="B63">
        <v>7.8E-2</v>
      </c>
      <c r="C63">
        <v>0.13</v>
      </c>
      <c r="D63" s="2">
        <f t="shared" si="1"/>
        <v>5.2000000000000005E-2</v>
      </c>
      <c r="E63">
        <f t="shared" si="4"/>
        <v>0.10076400600330113</v>
      </c>
      <c r="F63" s="2">
        <f t="shared" si="2"/>
        <v>4.8764006003301122E-2</v>
      </c>
      <c r="G63" s="3">
        <f t="shared" si="3"/>
        <v>0.93776934621732921</v>
      </c>
      <c r="H63" s="4">
        <f>AVERAGE(G63:$G$82)</f>
        <v>1.7595882407974746</v>
      </c>
    </row>
    <row r="64" spans="1:8">
      <c r="A64">
        <v>62</v>
      </c>
      <c r="B64">
        <v>0.1</v>
      </c>
      <c r="C64">
        <v>0.14000000000000001</v>
      </c>
      <c r="D64" s="2">
        <f t="shared" si="1"/>
        <v>4.0000000000000008E-2</v>
      </c>
      <c r="E64">
        <f t="shared" si="4"/>
        <v>9.6041480292723969E-2</v>
      </c>
      <c r="F64" s="2">
        <f t="shared" si="2"/>
        <v>5.6041480292723961E-2</v>
      </c>
      <c r="G64" s="3">
        <f t="shared" si="3"/>
        <v>1.4010370073180987</v>
      </c>
      <c r="H64" s="4">
        <f>AVERAGE(G64:$G$82)</f>
        <v>1.8028418668280084</v>
      </c>
    </row>
    <row r="65" spans="1:8">
      <c r="A65">
        <v>63</v>
      </c>
      <c r="B65">
        <v>0.11</v>
      </c>
      <c r="C65">
        <v>0.15</v>
      </c>
      <c r="D65" s="2">
        <f t="shared" si="1"/>
        <v>3.9999999999999994E-2</v>
      </c>
      <c r="E65">
        <f t="shared" si="4"/>
        <v>9.1609512415904037E-2</v>
      </c>
      <c r="F65" s="2">
        <f t="shared" si="2"/>
        <v>5.1609512415904044E-2</v>
      </c>
      <c r="G65" s="3">
        <f t="shared" si="3"/>
        <v>1.2902378103976013</v>
      </c>
      <c r="H65" s="4">
        <f>AVERAGE(G65:$G$82)</f>
        <v>1.8251643590230033</v>
      </c>
    </row>
    <row r="66" spans="1:8">
      <c r="A66">
        <v>64</v>
      </c>
      <c r="B66">
        <v>0.11700000000000001</v>
      </c>
      <c r="C66">
        <v>0.16200000000000001</v>
      </c>
      <c r="D66" s="2">
        <f t="shared" si="1"/>
        <v>4.4999999999999998E-2</v>
      </c>
      <c r="E66">
        <f t="shared" ref="E66:E82" si="5">1000000*$N$11*$N$10/(4*PI()*((A66+1)/100)^3)</f>
        <v>8.7446095667746013E-2</v>
      </c>
      <c r="F66" s="2">
        <f t="shared" si="2"/>
        <v>4.2446095667746014E-2</v>
      </c>
      <c r="G66" s="3">
        <f t="shared" si="3"/>
        <v>0.94324657039435589</v>
      </c>
      <c r="H66" s="4">
        <f>AVERAGE(G66:$G$82)</f>
        <v>1.8566306265892032</v>
      </c>
    </row>
    <row r="67" spans="1:8">
      <c r="A67">
        <v>65</v>
      </c>
      <c r="B67">
        <v>0.13</v>
      </c>
      <c r="C67">
        <v>0.17</v>
      </c>
      <c r="D67" s="2">
        <f t="shared" ref="D67:D82" si="6">C67-B67</f>
        <v>4.0000000000000008E-2</v>
      </c>
      <c r="E67">
        <f t="shared" si="5"/>
        <v>8.3531193556622529E-2</v>
      </c>
      <c r="F67" s="2">
        <f t="shared" ref="F67:F82" si="7">E67-D67</f>
        <v>4.3531193556622522E-2</v>
      </c>
      <c r="G67" s="3">
        <f t="shared" ref="G67:G82" si="8">F67/D67</f>
        <v>1.0882798389155628</v>
      </c>
      <c r="H67" s="4">
        <f>AVERAGE(G67:$G$82)</f>
        <v>1.9137171301013811</v>
      </c>
    </row>
    <row r="68" spans="1:8">
      <c r="A68">
        <v>66</v>
      </c>
      <c r="B68">
        <v>0.14000000000000001</v>
      </c>
      <c r="C68">
        <v>0.17</v>
      </c>
      <c r="D68" s="2">
        <f t="shared" si="6"/>
        <v>0.03</v>
      </c>
      <c r="E68">
        <f t="shared" si="5"/>
        <v>7.9846537049952121E-2</v>
      </c>
      <c r="F68" s="2">
        <f t="shared" si="7"/>
        <v>4.9846537049952122E-2</v>
      </c>
      <c r="G68" s="3">
        <f t="shared" si="8"/>
        <v>1.6615512349984041</v>
      </c>
      <c r="H68" s="4">
        <f>AVERAGE(G68:$G$82)</f>
        <v>1.9687462828471025</v>
      </c>
    </row>
    <row r="69" spans="1:8">
      <c r="A69">
        <v>67</v>
      </c>
      <c r="B69">
        <v>0.15</v>
      </c>
      <c r="C69">
        <v>0.18</v>
      </c>
      <c r="D69" s="2">
        <f t="shared" si="6"/>
        <v>0.03</v>
      </c>
      <c r="E69">
        <f t="shared" si="5"/>
        <v>7.6375445319670845E-2</v>
      </c>
      <c r="F69" s="2">
        <f t="shared" si="7"/>
        <v>4.6375445319670847E-2</v>
      </c>
      <c r="G69" s="3">
        <f t="shared" si="8"/>
        <v>1.5458481773223616</v>
      </c>
      <c r="H69" s="4">
        <f>AVERAGE(G69:$G$82)</f>
        <v>1.9906887862648666</v>
      </c>
    </row>
    <row r="70" spans="1:8">
      <c r="A70">
        <v>68</v>
      </c>
      <c r="B70">
        <v>0.16</v>
      </c>
      <c r="C70">
        <v>0.2</v>
      </c>
      <c r="D70" s="2">
        <f t="shared" si="6"/>
        <v>4.0000000000000008E-2</v>
      </c>
      <c r="E70">
        <f t="shared" si="5"/>
        <v>7.3102666967281738E-2</v>
      </c>
      <c r="F70" s="2">
        <f t="shared" si="7"/>
        <v>3.310266696728173E-2</v>
      </c>
      <c r="G70" s="3">
        <f t="shared" si="8"/>
        <v>0.8275666741820431</v>
      </c>
      <c r="H70" s="4">
        <f>AVERAGE(G70:$G$82)</f>
        <v>2.0249072946450593</v>
      </c>
    </row>
    <row r="71" spans="1:8">
      <c r="A71">
        <v>69</v>
      </c>
      <c r="B71">
        <v>0.16</v>
      </c>
      <c r="C71">
        <v>0.19</v>
      </c>
      <c r="D71" s="2">
        <f t="shared" si="6"/>
        <v>0.03</v>
      </c>
      <c r="E71">
        <f t="shared" si="5"/>
        <v>7.0014239133395786E-2</v>
      </c>
      <c r="F71" s="2">
        <f t="shared" si="7"/>
        <v>4.0014239133395788E-2</v>
      </c>
      <c r="G71" s="3">
        <f t="shared" si="8"/>
        <v>1.3338079711131929</v>
      </c>
      <c r="H71" s="4">
        <f>AVERAGE(G71:$G$82)</f>
        <v>2.124685679683644</v>
      </c>
    </row>
    <row r="72" spans="1:8">
      <c r="A72">
        <v>70</v>
      </c>
      <c r="B72">
        <v>0.16</v>
      </c>
      <c r="C72">
        <v>0.19</v>
      </c>
      <c r="D72" s="2">
        <f t="shared" si="6"/>
        <v>0.03</v>
      </c>
      <c r="E72">
        <f t="shared" si="5"/>
        <v>6.7097362256971008E-2</v>
      </c>
      <c r="F72" s="2">
        <f t="shared" si="7"/>
        <v>3.7097362256971009E-2</v>
      </c>
      <c r="G72" s="3">
        <f t="shared" si="8"/>
        <v>1.2365787418990337</v>
      </c>
      <c r="H72" s="4">
        <f>AVERAGE(G72:$G$82)</f>
        <v>2.1965836531900487</v>
      </c>
    </row>
    <row r="73" spans="1:8">
      <c r="A73">
        <v>71</v>
      </c>
      <c r="B73">
        <v>0.17</v>
      </c>
      <c r="C73">
        <v>0.2</v>
      </c>
      <c r="D73" s="2">
        <f t="shared" si="6"/>
        <v>0.03</v>
      </c>
      <c r="E73">
        <f t="shared" si="5"/>
        <v>6.4340288555477201E-2</v>
      </c>
      <c r="F73" s="2">
        <f t="shared" si="7"/>
        <v>3.4340288555477202E-2</v>
      </c>
      <c r="G73" s="3">
        <f t="shared" si="8"/>
        <v>1.1446762851825734</v>
      </c>
      <c r="H73" s="4">
        <f>AVERAGE(G73:$G$82)</f>
        <v>2.2925841443191501</v>
      </c>
    </row>
    <row r="74" spans="1:8">
      <c r="A74">
        <v>72</v>
      </c>
      <c r="B74">
        <v>0.19</v>
      </c>
      <c r="C74">
        <v>0.2</v>
      </c>
      <c r="D74" s="2">
        <f t="shared" si="6"/>
        <v>1.0000000000000009E-2</v>
      </c>
      <c r="E74">
        <f t="shared" si="5"/>
        <v>6.1732222557766767E-2</v>
      </c>
      <c r="F74" s="2">
        <f t="shared" si="7"/>
        <v>5.1732222557766758E-2</v>
      </c>
      <c r="G74" s="3">
        <f t="shared" si="8"/>
        <v>5.1732222557766709</v>
      </c>
      <c r="H74" s="4">
        <f>AVERAGE(G74:$G$82)</f>
        <v>2.4201294620009919</v>
      </c>
    </row>
    <row r="75" spans="1:8">
      <c r="A75">
        <v>73</v>
      </c>
      <c r="B75">
        <v>0.2</v>
      </c>
      <c r="C75">
        <v>0.21</v>
      </c>
      <c r="D75" s="2">
        <f t="shared" si="6"/>
        <v>9.9999999999999811E-3</v>
      </c>
      <c r="E75">
        <f t="shared" si="5"/>
        <v>5.9263232243783076E-2</v>
      </c>
      <c r="F75" s="2">
        <f t="shared" si="7"/>
        <v>4.9263232243783095E-2</v>
      </c>
      <c r="G75" s="3">
        <f t="shared" si="8"/>
        <v>4.9263232243783186</v>
      </c>
      <c r="H75" s="4">
        <f>AVERAGE(G75:$G$82)</f>
        <v>2.0759928627790321</v>
      </c>
    </row>
    <row r="76" spans="1:8">
      <c r="A76">
        <v>74</v>
      </c>
      <c r="B76">
        <v>0.19</v>
      </c>
      <c r="C76">
        <v>0.22</v>
      </c>
      <c r="D76" s="2">
        <f t="shared" si="6"/>
        <v>0.03</v>
      </c>
      <c r="E76">
        <f t="shared" si="5"/>
        <v>5.6924169535418678E-2</v>
      </c>
      <c r="F76" s="2">
        <f t="shared" si="7"/>
        <v>2.6924169535418679E-2</v>
      </c>
      <c r="G76" s="3">
        <f t="shared" si="8"/>
        <v>0.89747231784728931</v>
      </c>
      <c r="H76" s="4">
        <f>AVERAGE(G76:$G$82)</f>
        <v>1.6688028111219915</v>
      </c>
    </row>
    <row r="77" spans="1:8">
      <c r="A77">
        <v>75</v>
      </c>
      <c r="B77">
        <v>0.22</v>
      </c>
      <c r="C77">
        <v>0.24</v>
      </c>
      <c r="D77" s="2">
        <f t="shared" si="6"/>
        <v>1.999999999999999E-2</v>
      </c>
      <c r="E77">
        <f t="shared" si="5"/>
        <v>5.4706599045858437E-2</v>
      </c>
      <c r="F77" s="2">
        <f t="shared" si="7"/>
        <v>3.4706599045858447E-2</v>
      </c>
      <c r="G77" s="3">
        <f t="shared" si="8"/>
        <v>1.7353299522929233</v>
      </c>
      <c r="H77" s="4">
        <f>AVERAGE(G77:$G$82)</f>
        <v>1.7973578933344416</v>
      </c>
    </row>
    <row r="78" spans="1:8">
      <c r="A78">
        <v>76</v>
      </c>
      <c r="B78">
        <v>0.25</v>
      </c>
      <c r="C78">
        <v>0.26</v>
      </c>
      <c r="D78" s="2">
        <f t="shared" si="6"/>
        <v>1.0000000000000009E-2</v>
      </c>
      <c r="E78">
        <f t="shared" si="5"/>
        <v>5.2602734134782704E-2</v>
      </c>
      <c r="F78" s="2">
        <f t="shared" si="7"/>
        <v>4.2602734134782695E-2</v>
      </c>
      <c r="G78" s="3">
        <f t="shared" si="8"/>
        <v>4.2602734134782656</v>
      </c>
      <c r="H78" s="4">
        <f>AVERAGE(G78:$G$82)</f>
        <v>1.8097634815427455</v>
      </c>
    </row>
    <row r="79" spans="1:8">
      <c r="A79">
        <v>77</v>
      </c>
      <c r="B79">
        <v>0.24</v>
      </c>
      <c r="C79">
        <v>0.26</v>
      </c>
      <c r="D79" s="2">
        <f t="shared" si="6"/>
        <v>2.0000000000000018E-2</v>
      </c>
      <c r="E79">
        <f t="shared" si="5"/>
        <v>5.0605379437353021E-2</v>
      </c>
      <c r="F79" s="2">
        <f t="shared" si="7"/>
        <v>3.0605379437353003E-2</v>
      </c>
      <c r="G79" s="3">
        <f t="shared" si="8"/>
        <v>1.5302689718676488</v>
      </c>
      <c r="H79" s="4">
        <f>AVERAGE(G79:$G$82)</f>
        <v>1.1971359985588654</v>
      </c>
    </row>
    <row r="80" spans="1:8">
      <c r="A80">
        <v>78</v>
      </c>
      <c r="B80">
        <v>0.24</v>
      </c>
      <c r="C80">
        <v>0.26</v>
      </c>
      <c r="D80" s="2">
        <f t="shared" si="6"/>
        <v>2.0000000000000018E-2</v>
      </c>
      <c r="E80">
        <f t="shared" si="5"/>
        <v>4.8707879138880993E-2</v>
      </c>
      <c r="F80" s="2">
        <f t="shared" si="7"/>
        <v>2.8707879138880975E-2</v>
      </c>
      <c r="G80" s="3">
        <f t="shared" si="8"/>
        <v>1.4353939569440475</v>
      </c>
      <c r="H80" s="4">
        <f>AVERAGE(G80:$G$82)</f>
        <v>1.0860916741226043</v>
      </c>
    </row>
    <row r="81" spans="1:8">
      <c r="A81">
        <v>79</v>
      </c>
      <c r="B81">
        <v>0.25</v>
      </c>
      <c r="C81">
        <v>0.28000000000000003</v>
      </c>
      <c r="D81" s="2">
        <f t="shared" si="6"/>
        <v>3.0000000000000027E-2</v>
      </c>
      <c r="E81">
        <f t="shared" si="5"/>
        <v>4.690407035694287E-2</v>
      </c>
      <c r="F81" s="2">
        <f t="shared" si="7"/>
        <v>1.6904070356942844E-2</v>
      </c>
      <c r="G81" s="3">
        <f t="shared" si="8"/>
        <v>0.56346901189809429</v>
      </c>
      <c r="H81" s="4">
        <f>AVERAGE(G81:$G$82)</f>
        <v>0.91144053271188263</v>
      </c>
    </row>
    <row r="82" spans="1:8">
      <c r="A82">
        <v>80</v>
      </c>
      <c r="B82">
        <v>0.26</v>
      </c>
      <c r="C82">
        <v>0.28000000000000003</v>
      </c>
      <c r="D82" s="2">
        <f t="shared" si="6"/>
        <v>2.0000000000000018E-2</v>
      </c>
      <c r="E82">
        <f t="shared" si="5"/>
        <v>4.518824107051346E-2</v>
      </c>
      <c r="F82" s="2">
        <f t="shared" si="7"/>
        <v>2.5188241070513442E-2</v>
      </c>
      <c r="G82" s="3">
        <f t="shared" si="8"/>
        <v>1.259412053525671</v>
      </c>
      <c r="H82" s="4">
        <f>AVERAGE(G82:$G$82)</f>
        <v>1.259412053525671</v>
      </c>
    </row>
    <row r="83" spans="1:8">
      <c r="A83">
        <v>81</v>
      </c>
    </row>
    <row r="84" spans="1:8">
      <c r="A84">
        <v>82</v>
      </c>
    </row>
    <row r="85" spans="1:8">
      <c r="A85">
        <v>83</v>
      </c>
    </row>
    <row r="86" spans="1:8">
      <c r="A86">
        <v>84</v>
      </c>
    </row>
    <row r="87" spans="1:8">
      <c r="A87">
        <v>85</v>
      </c>
    </row>
    <row r="88" spans="1:8">
      <c r="A88">
        <v>86</v>
      </c>
    </row>
    <row r="89" spans="1:8">
      <c r="A89">
        <v>87</v>
      </c>
    </row>
    <row r="90" spans="1:8">
      <c r="A90">
        <v>88</v>
      </c>
    </row>
    <row r="91" spans="1:8">
      <c r="A91">
        <v>89</v>
      </c>
    </row>
    <row r="92" spans="1:8">
      <c r="A92">
        <v>90</v>
      </c>
    </row>
    <row r="93" spans="1:8">
      <c r="A93">
        <v>91</v>
      </c>
    </row>
    <row r="94" spans="1:8">
      <c r="A94">
        <v>92</v>
      </c>
    </row>
    <row r="95" spans="1:8">
      <c r="A95">
        <v>93</v>
      </c>
    </row>
    <row r="96" spans="1:8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  <row r="103" spans="1:1">
      <c r="A103">
        <v>101</v>
      </c>
    </row>
    <row r="104" spans="1:1">
      <c r="A104">
        <v>102</v>
      </c>
    </row>
    <row r="105" spans="1:1">
      <c r="A105">
        <v>103</v>
      </c>
    </row>
    <row r="106" spans="1:1">
      <c r="A106">
        <v>104</v>
      </c>
    </row>
    <row r="107" spans="1:1">
      <c r="A107">
        <v>105</v>
      </c>
    </row>
    <row r="108" spans="1:1">
      <c r="A108">
        <v>106</v>
      </c>
    </row>
    <row r="109" spans="1:1">
      <c r="A109">
        <v>107</v>
      </c>
    </row>
    <row r="110" spans="1:1">
      <c r="A110">
        <v>108</v>
      </c>
    </row>
    <row r="111" spans="1:1">
      <c r="A111">
        <v>109</v>
      </c>
    </row>
    <row r="112" spans="1:1">
      <c r="A112">
        <v>110</v>
      </c>
    </row>
    <row r="113" spans="1:1">
      <c r="A113">
        <v>111</v>
      </c>
    </row>
    <row r="114" spans="1:1">
      <c r="A114">
        <v>112</v>
      </c>
    </row>
    <row r="115" spans="1:1">
      <c r="A115">
        <v>113</v>
      </c>
    </row>
    <row r="116" spans="1:1">
      <c r="A116">
        <v>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2023-06-27T09:50:18Z</dcterms:modified>
</cp:coreProperties>
</file>